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71798DD-C2A9-480B-8CA9-108E34EEDACD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Dashboard" sheetId="1" r:id="rId1"/>
    <sheet name="Pivot Table" sheetId="2" r:id="rId2"/>
    <sheet name="Dataset" sheetId="3" r:id="rId3"/>
    <sheet name="Conditional Formatting" sheetId="4" r:id="rId4"/>
    <sheet name="What-If Analysis" sheetId="5" r:id="rId5"/>
    <sheet name="Regression" sheetId="6" r:id="rId6"/>
    <sheet name="Regression Output" sheetId="7" r:id="rId7"/>
    <sheet name="Descriptive Statistics - Sales" sheetId="8" r:id="rId8"/>
  </sheets>
  <definedNames>
    <definedName name="_xlnm._FilterDatabase" localSheetId="2" hidden="1">Dataset!$A$1:$K$51</definedName>
  </definedNames>
  <calcPr calcId="191029" forceFullCalc="1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3" i="5"/>
  <c r="B2" i="5"/>
  <c r="K51" i="3"/>
  <c r="I51" i="3"/>
  <c r="H51" i="3"/>
  <c r="J51" i="3" s="1"/>
  <c r="G51" i="3"/>
  <c r="K50" i="3"/>
  <c r="I50" i="3"/>
  <c r="H50" i="3"/>
  <c r="J50" i="3" s="1"/>
  <c r="G50" i="3"/>
  <c r="K49" i="3"/>
  <c r="I49" i="3"/>
  <c r="H49" i="3"/>
  <c r="J49" i="3" s="1"/>
  <c r="G49" i="3"/>
  <c r="K48" i="3"/>
  <c r="I48" i="3"/>
  <c r="H48" i="3"/>
  <c r="J48" i="3" s="1"/>
  <c r="G48" i="3"/>
  <c r="K47" i="3"/>
  <c r="I47" i="3"/>
  <c r="H47" i="3"/>
  <c r="J47" i="3" s="1"/>
  <c r="G47" i="3"/>
  <c r="K46" i="3"/>
  <c r="I46" i="3"/>
  <c r="H46" i="3"/>
  <c r="J46" i="3" s="1"/>
  <c r="G46" i="3"/>
  <c r="K45" i="3"/>
  <c r="I45" i="3"/>
  <c r="H45" i="3"/>
  <c r="J45" i="3" s="1"/>
  <c r="G45" i="3"/>
  <c r="K44" i="3"/>
  <c r="I44" i="3"/>
  <c r="H44" i="3"/>
  <c r="J44" i="3" s="1"/>
  <c r="G44" i="3"/>
  <c r="K43" i="3"/>
  <c r="I43" i="3"/>
  <c r="H43" i="3"/>
  <c r="J43" i="3" s="1"/>
  <c r="G43" i="3"/>
  <c r="K42" i="3"/>
  <c r="I42" i="3"/>
  <c r="H42" i="3"/>
  <c r="J42" i="3" s="1"/>
  <c r="G42" i="3"/>
  <c r="K41" i="3"/>
  <c r="I41" i="3"/>
  <c r="H41" i="3"/>
  <c r="J41" i="3" s="1"/>
  <c r="G41" i="3"/>
  <c r="K40" i="3"/>
  <c r="I40" i="3"/>
  <c r="H40" i="3"/>
  <c r="J40" i="3" s="1"/>
  <c r="G40" i="3"/>
  <c r="K39" i="3"/>
  <c r="I39" i="3"/>
  <c r="H39" i="3"/>
  <c r="J39" i="3" s="1"/>
  <c r="G39" i="3"/>
  <c r="K38" i="3"/>
  <c r="I38" i="3"/>
  <c r="H38" i="3"/>
  <c r="J38" i="3" s="1"/>
  <c r="G38" i="3"/>
  <c r="K37" i="3"/>
  <c r="I37" i="3"/>
  <c r="H37" i="3"/>
  <c r="J37" i="3" s="1"/>
  <c r="G37" i="3"/>
  <c r="K36" i="3"/>
  <c r="I36" i="3"/>
  <c r="H36" i="3"/>
  <c r="J36" i="3" s="1"/>
  <c r="G36" i="3"/>
  <c r="K35" i="3"/>
  <c r="I35" i="3"/>
  <c r="H35" i="3"/>
  <c r="J35" i="3" s="1"/>
  <c r="G35" i="3"/>
  <c r="K34" i="3"/>
  <c r="I34" i="3"/>
  <c r="H34" i="3"/>
  <c r="J34" i="3" s="1"/>
  <c r="G34" i="3"/>
  <c r="K33" i="3"/>
  <c r="I33" i="3"/>
  <c r="H33" i="3"/>
  <c r="J33" i="3" s="1"/>
  <c r="G33" i="3"/>
  <c r="K32" i="3"/>
  <c r="I32" i="3"/>
  <c r="H32" i="3"/>
  <c r="J32" i="3" s="1"/>
  <c r="G32" i="3"/>
  <c r="K31" i="3"/>
  <c r="I31" i="3"/>
  <c r="H31" i="3"/>
  <c r="J31" i="3" s="1"/>
  <c r="G31" i="3"/>
  <c r="K30" i="3"/>
  <c r="I30" i="3"/>
  <c r="H30" i="3"/>
  <c r="J30" i="3" s="1"/>
  <c r="G30" i="3"/>
  <c r="K29" i="3"/>
  <c r="I29" i="3"/>
  <c r="H29" i="3"/>
  <c r="J29" i="3" s="1"/>
  <c r="G29" i="3"/>
  <c r="K28" i="3"/>
  <c r="I28" i="3"/>
  <c r="H28" i="3"/>
  <c r="J28" i="3" s="1"/>
  <c r="G28" i="3"/>
  <c r="K27" i="3"/>
  <c r="I27" i="3"/>
  <c r="H27" i="3"/>
  <c r="J27" i="3" s="1"/>
  <c r="G27" i="3"/>
  <c r="K26" i="3"/>
  <c r="I26" i="3"/>
  <c r="H26" i="3"/>
  <c r="J26" i="3" s="1"/>
  <c r="G26" i="3"/>
  <c r="K25" i="3"/>
  <c r="I25" i="3"/>
  <c r="H25" i="3"/>
  <c r="J25" i="3" s="1"/>
  <c r="G25" i="3"/>
  <c r="K24" i="3"/>
  <c r="I24" i="3"/>
  <c r="H24" i="3"/>
  <c r="J24" i="3" s="1"/>
  <c r="G24" i="3"/>
  <c r="K23" i="3"/>
  <c r="I23" i="3"/>
  <c r="H23" i="3"/>
  <c r="J23" i="3" s="1"/>
  <c r="G23" i="3"/>
  <c r="K22" i="3"/>
  <c r="I22" i="3"/>
  <c r="H22" i="3"/>
  <c r="J22" i="3" s="1"/>
  <c r="G22" i="3"/>
  <c r="K21" i="3"/>
  <c r="I21" i="3"/>
  <c r="H21" i="3"/>
  <c r="J21" i="3" s="1"/>
  <c r="G21" i="3"/>
  <c r="K20" i="3"/>
  <c r="I20" i="3"/>
  <c r="H20" i="3"/>
  <c r="J20" i="3" s="1"/>
  <c r="G20" i="3"/>
  <c r="K19" i="3"/>
  <c r="I19" i="3"/>
  <c r="H19" i="3"/>
  <c r="J19" i="3" s="1"/>
  <c r="G19" i="3"/>
  <c r="K18" i="3"/>
  <c r="I18" i="3"/>
  <c r="H18" i="3"/>
  <c r="J18" i="3" s="1"/>
  <c r="G18" i="3"/>
  <c r="K17" i="3"/>
  <c r="I17" i="3"/>
  <c r="H17" i="3"/>
  <c r="J17" i="3" s="1"/>
  <c r="G17" i="3"/>
  <c r="K16" i="3"/>
  <c r="I16" i="3"/>
  <c r="H16" i="3"/>
  <c r="J16" i="3" s="1"/>
  <c r="G16" i="3"/>
  <c r="K15" i="3"/>
  <c r="I15" i="3"/>
  <c r="H15" i="3"/>
  <c r="J15" i="3" s="1"/>
  <c r="G15" i="3"/>
  <c r="K14" i="3"/>
  <c r="I14" i="3"/>
  <c r="H14" i="3"/>
  <c r="J14" i="3" s="1"/>
  <c r="G14" i="3"/>
  <c r="K13" i="3"/>
  <c r="I13" i="3"/>
  <c r="H13" i="3"/>
  <c r="J13" i="3" s="1"/>
  <c r="G13" i="3"/>
  <c r="K12" i="3"/>
  <c r="I12" i="3"/>
  <c r="H12" i="3"/>
  <c r="J12" i="3" s="1"/>
  <c r="G12" i="3"/>
  <c r="K11" i="3"/>
  <c r="I11" i="3"/>
  <c r="H11" i="3"/>
  <c r="J11" i="3" s="1"/>
  <c r="G11" i="3"/>
  <c r="K10" i="3"/>
  <c r="I10" i="3"/>
  <c r="H10" i="3"/>
  <c r="J10" i="3" s="1"/>
  <c r="G10" i="3"/>
  <c r="K9" i="3"/>
  <c r="I9" i="3"/>
  <c r="H9" i="3"/>
  <c r="J9" i="3" s="1"/>
  <c r="G9" i="3"/>
  <c r="K8" i="3"/>
  <c r="I8" i="3"/>
  <c r="H8" i="3"/>
  <c r="J8" i="3" s="1"/>
  <c r="G8" i="3"/>
  <c r="K7" i="3"/>
  <c r="I7" i="3"/>
  <c r="H7" i="3"/>
  <c r="J7" i="3" s="1"/>
  <c r="G7" i="3"/>
  <c r="K6" i="3"/>
  <c r="I6" i="3"/>
  <c r="H6" i="3"/>
  <c r="J6" i="3" s="1"/>
  <c r="G6" i="3"/>
  <c r="K5" i="3"/>
  <c r="I5" i="3"/>
  <c r="H5" i="3"/>
  <c r="J5" i="3" s="1"/>
  <c r="G5" i="3"/>
  <c r="K4" i="3"/>
  <c r="I4" i="3"/>
  <c r="H4" i="3"/>
  <c r="J4" i="3" s="1"/>
  <c r="G4" i="3"/>
  <c r="K3" i="3"/>
  <c r="I3" i="3"/>
  <c r="H3" i="3"/>
  <c r="J3" i="3" s="1"/>
  <c r="G3" i="3"/>
  <c r="K2" i="3"/>
  <c r="I2" i="3"/>
  <c r="H2" i="3"/>
  <c r="J2" i="3" s="1"/>
  <c r="G2" i="3"/>
  <c r="H19" i="1"/>
  <c r="E19" i="1"/>
  <c r="D19" i="1"/>
  <c r="H18" i="1"/>
  <c r="E18" i="1"/>
  <c r="D18" i="1"/>
  <c r="H17" i="1"/>
  <c r="E17" i="1"/>
  <c r="D17" i="1"/>
  <c r="H16" i="1"/>
  <c r="E16" i="1"/>
  <c r="D16" i="1"/>
  <c r="H15" i="1"/>
  <c r="E15" i="1"/>
  <c r="D15" i="1"/>
  <c r="H14" i="1"/>
  <c r="E14" i="1"/>
  <c r="D14" i="1"/>
  <c r="H13" i="1"/>
  <c r="E13" i="1"/>
  <c r="D13" i="1"/>
  <c r="B13" i="1"/>
  <c r="H12" i="1"/>
  <c r="E12" i="1"/>
  <c r="D12" i="1"/>
  <c r="B12" i="1"/>
  <c r="H11" i="1"/>
  <c r="E11" i="1"/>
  <c r="D11" i="1"/>
  <c r="B11" i="1"/>
  <c r="H10" i="1"/>
  <c r="E10" i="1"/>
  <c r="D10" i="1"/>
  <c r="B10" i="1"/>
  <c r="B6" i="1"/>
  <c r="B5" i="1"/>
  <c r="B3" i="1"/>
  <c r="B4" i="1" l="1"/>
</calcChain>
</file>

<file path=xl/sharedStrings.xml><?xml version="1.0" encoding="utf-8"?>
<sst xmlns="http://schemas.openxmlformats.org/spreadsheetml/2006/main" count="302" uniqueCount="168">
  <si>
    <t>PR. 2 ANALYZER PROJECT — DASHBOARD</t>
  </si>
  <si>
    <t>Total Sales</t>
  </si>
  <si>
    <t>Total Profit</t>
  </si>
  <si>
    <t>Average Sales</t>
  </si>
  <si>
    <t>Customer Records</t>
  </si>
  <si>
    <t>Region</t>
  </si>
  <si>
    <t>Customer</t>
  </si>
  <si>
    <t>Sales</t>
  </si>
  <si>
    <t>Product</t>
  </si>
  <si>
    <t>East</t>
  </si>
  <si>
    <t>ac</t>
  </si>
  <si>
    <t>North</t>
  </si>
  <si>
    <t>fridge</t>
  </si>
  <si>
    <t>South</t>
  </si>
  <si>
    <t>smartwatch</t>
  </si>
  <si>
    <t>West</t>
  </si>
  <si>
    <t>laptop</t>
  </si>
  <si>
    <t>speckar</t>
  </si>
  <si>
    <t>mobile</t>
  </si>
  <si>
    <t>tv</t>
  </si>
  <si>
    <t>blender</t>
  </si>
  <si>
    <t>Laptop Stand</t>
  </si>
  <si>
    <t>Power Bank</t>
  </si>
  <si>
    <t>Row Labels</t>
  </si>
  <si>
    <t>Sum of sales</t>
  </si>
  <si>
    <t>Bluetooth Speaker</t>
  </si>
  <si>
    <t>Electric Kettle</t>
  </si>
  <si>
    <t>Game Controller</t>
  </si>
  <si>
    <t>Graphics Card</t>
  </si>
  <si>
    <t>headphone</t>
  </si>
  <si>
    <t>Microwave Oven</t>
  </si>
  <si>
    <t>Monitor</t>
  </si>
  <si>
    <t>USB Cable</t>
  </si>
  <si>
    <t>Cooling Pad</t>
  </si>
  <si>
    <t>Gaming Mouse</t>
  </si>
  <si>
    <t>Mobile Cover</t>
  </si>
  <si>
    <t>Mouse</t>
  </si>
  <si>
    <t>Pendrive</t>
  </si>
  <si>
    <t>Projector</t>
  </si>
  <si>
    <t>RAM</t>
  </si>
  <si>
    <t>Refrigerator</t>
  </si>
  <si>
    <t>Smart TV</t>
  </si>
  <si>
    <t>SSD</t>
  </si>
  <si>
    <t>Wi-Fi Adapter</t>
  </si>
  <si>
    <t>Air Conditioner</t>
  </si>
  <si>
    <t>bluetuth</t>
  </si>
  <si>
    <t>Earbuds</t>
  </si>
  <si>
    <t>Hard Disk</t>
  </si>
  <si>
    <t>Keyboard</t>
  </si>
  <si>
    <t>Microphone</t>
  </si>
  <si>
    <t>Power Supply</t>
  </si>
  <si>
    <t>Screen Protector</t>
  </si>
  <si>
    <t>Tablet</t>
  </si>
  <si>
    <t>washing machine</t>
  </si>
  <si>
    <t>air pode</t>
  </si>
  <si>
    <t>Camera</t>
  </si>
  <si>
    <t>Charger</t>
  </si>
  <si>
    <t>Gaming Keyboard</t>
  </si>
  <si>
    <t>HDMI Cable</t>
  </si>
  <si>
    <t>Iron</t>
  </si>
  <si>
    <t>Printer</t>
  </si>
  <si>
    <t>Router</t>
  </si>
  <si>
    <t>Smart Watch</t>
  </si>
  <si>
    <t>Webcam</t>
  </si>
  <si>
    <t>(blank)</t>
  </si>
  <si>
    <t>Grand Total</t>
  </si>
  <si>
    <t>Customber id</t>
  </si>
  <si>
    <t>Customber name</t>
  </si>
  <si>
    <t>sales</t>
  </si>
  <si>
    <t>Discount</t>
  </si>
  <si>
    <t>profit</t>
  </si>
  <si>
    <t>Monthly sales growth</t>
  </si>
  <si>
    <t>Timestamp</t>
  </si>
  <si>
    <t>Monthly Sales Trend</t>
  </si>
  <si>
    <t>High value customber</t>
  </si>
  <si>
    <t>Megha</t>
  </si>
  <si>
    <t>Jayesh</t>
  </si>
  <si>
    <t>Om</t>
  </si>
  <si>
    <t>Vaidehi</t>
  </si>
  <si>
    <t>Vijaya</t>
  </si>
  <si>
    <t>Ranjan</t>
  </si>
  <si>
    <t>Vedant</t>
  </si>
  <si>
    <t>Shankar</t>
  </si>
  <si>
    <t>Hetvi</t>
  </si>
  <si>
    <t>south</t>
  </si>
  <si>
    <t>Anurag</t>
  </si>
  <si>
    <t>Ved</t>
  </si>
  <si>
    <t>Pooja</t>
  </si>
  <si>
    <t>Vikram</t>
  </si>
  <si>
    <t>Yash</t>
  </si>
  <si>
    <t>Siya</t>
  </si>
  <si>
    <t>Krisha</t>
  </si>
  <si>
    <t>Vaishali</t>
  </si>
  <si>
    <t>Jagdish</t>
  </si>
  <si>
    <t>Dev</t>
  </si>
  <si>
    <t>Niya</t>
  </si>
  <si>
    <t>Krish</t>
  </si>
  <si>
    <t>Washing Machine</t>
  </si>
  <si>
    <t>Diya</t>
  </si>
  <si>
    <t>Sneha</t>
  </si>
  <si>
    <t>Piya</t>
  </si>
  <si>
    <t>Aarav</t>
  </si>
  <si>
    <t>Aarambhi</t>
  </si>
  <si>
    <t>Priya</t>
  </si>
  <si>
    <t>Soham</t>
  </si>
  <si>
    <t>Mahi</t>
  </si>
  <si>
    <t>Jiya</t>
  </si>
  <si>
    <t>Harsh</t>
  </si>
  <si>
    <t>Sara</t>
  </si>
  <si>
    <t>Anjali</t>
  </si>
  <si>
    <t>Parth</t>
  </si>
  <si>
    <t>Yesha</t>
  </si>
  <si>
    <t>Riya</t>
  </si>
  <si>
    <t>Aisha</t>
  </si>
  <si>
    <t>Vishvam</t>
  </si>
  <si>
    <t>Dhruv</t>
  </si>
  <si>
    <t>Manav</t>
  </si>
  <si>
    <t>Kiya</t>
  </si>
  <si>
    <t>Meet</t>
  </si>
  <si>
    <t>Khushi</t>
  </si>
  <si>
    <t>Jinal</t>
  </si>
  <si>
    <t>east</t>
  </si>
  <si>
    <t>Raj</t>
  </si>
  <si>
    <t>Satya</t>
  </si>
  <si>
    <t>Neha</t>
  </si>
  <si>
    <t>Miya</t>
  </si>
  <si>
    <t>Riddhi</t>
  </si>
  <si>
    <t>Liya</t>
  </si>
  <si>
    <t>Customer Name</t>
  </si>
  <si>
    <t>Total Profit at Scenario Discount</t>
  </si>
  <si>
    <t>Profit</t>
  </si>
  <si>
    <t>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</si>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</sst>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\ hh:m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Bell MT"/>
      <family val="1"/>
    </font>
    <font>
      <sz val="14"/>
      <color theme="1"/>
      <name val="Bell MT"/>
      <family val="1"/>
    </font>
    <font>
      <sz val="16"/>
      <color theme="5" tint="-0.249977111117893"/>
      <name val="Bahnschrift Light"/>
      <family val="2"/>
    </font>
    <font>
      <sz val="14"/>
      <color theme="1"/>
      <name val="Calibri"/>
      <family val="2"/>
      <scheme val="minor"/>
    </font>
    <font>
      <sz val="14"/>
      <color theme="1"/>
      <name val="Bodoni MT"/>
      <family val="1"/>
    </font>
    <font>
      <sz val="14"/>
      <color theme="1"/>
      <name val="Bahnschrift Light SemiCondensed"/>
      <family val="2"/>
    </font>
    <font>
      <i/>
      <sz val="14"/>
      <color theme="1"/>
      <name val="Bahnschrift Light SemiCondensed"/>
      <family val="2"/>
    </font>
    <font>
      <sz val="12"/>
      <color theme="1"/>
      <name val="Calibri"/>
      <family val="2"/>
      <scheme val="minor"/>
    </font>
    <font>
      <sz val="12"/>
      <color theme="1"/>
      <name val="Tempus Sans ITC"/>
      <family val="5"/>
    </font>
    <font>
      <b/>
      <sz val="16"/>
      <color rgb="FFFFFFFF"/>
      <name val="Calibri"/>
      <family val="2"/>
    </font>
    <font>
      <b/>
      <sz val="11"/>
      <color rgb="FF1F1F1F"/>
      <name val="Calibri"/>
      <family val="2"/>
    </font>
    <font>
      <b/>
      <sz val="11"/>
      <color rgb="FFFFFFFF"/>
      <name val="Calibri"/>
      <family val="2"/>
    </font>
    <font>
      <i/>
      <sz val="16"/>
      <color theme="1"/>
      <name val="Cambria"/>
      <family val="1"/>
    </font>
    <font>
      <sz val="16"/>
      <color theme="9" tint="-0.499984740745262"/>
      <name val="Cambria"/>
      <family val="1"/>
    </font>
    <font>
      <i/>
      <sz val="16"/>
      <color theme="1"/>
      <name val="Bahnschrift Light SemiCondensed"/>
      <family val="2"/>
    </font>
    <font>
      <sz val="16"/>
      <color theme="1"/>
      <name val="Bahnschrift Light SemiCondensed"/>
      <family val="2"/>
    </font>
    <font>
      <sz val="16"/>
      <color theme="1"/>
      <name val="Calibri"/>
      <family val="2"/>
      <scheme val="minor"/>
    </font>
    <font>
      <i/>
      <sz val="14"/>
      <color theme="9" tint="-0.249977111117893"/>
      <name val="Bahnschrift Light SemiCondensed"/>
      <family val="2"/>
    </font>
    <font>
      <sz val="11"/>
      <color theme="9" tint="-0.249977111117893"/>
      <name val="Calibri"/>
      <family val="2"/>
      <scheme val="minor"/>
    </font>
    <font>
      <sz val="14"/>
      <color theme="9" tint="-0.249977111117893"/>
      <name val="Bahnschrift Light SemiCondensed"/>
      <family val="2"/>
    </font>
    <font>
      <b/>
      <sz val="14"/>
      <color theme="1"/>
      <name val="Bell MT"/>
      <family val="1"/>
    </font>
    <font>
      <sz val="16"/>
      <color theme="4" tint="-0.249977111117893"/>
      <name val="Bahnschrift Light"/>
      <family val="2"/>
    </font>
    <font>
      <sz val="18"/>
      <color theme="1"/>
      <name val="Sitka Subheading Semibold"/>
    </font>
    <font>
      <sz val="18"/>
      <color theme="1"/>
      <name val="Calibri"/>
      <family val="2"/>
      <scheme val="minor"/>
    </font>
    <font>
      <b/>
      <sz val="18"/>
      <color theme="1"/>
      <name val="SimSun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1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2" fillId="4" borderId="0" xfId="0" applyFont="1" applyFill="1" applyAlignment="1">
      <alignment vertical="center"/>
    </xf>
    <xf numFmtId="0" fontId="14" fillId="5" borderId="6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7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8" fillId="8" borderId="1" xfId="0" applyFont="1" applyFill="1" applyBorder="1" applyAlignment="1">
      <alignment horizontal="center"/>
    </xf>
    <xf numFmtId="0" fontId="19" fillId="8" borderId="1" xfId="0" applyFont="1" applyFill="1" applyBorder="1"/>
    <xf numFmtId="0" fontId="20" fillId="8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vertical="center" wrapText="1"/>
    </xf>
    <xf numFmtId="0" fontId="5" fillId="10" borderId="2" xfId="0" applyFont="1" applyFill="1" applyBorder="1"/>
    <xf numFmtId="9" fontId="3" fillId="6" borderId="1" xfId="0" applyNumberFormat="1" applyFont="1" applyFill="1" applyBorder="1" applyAlignment="1">
      <alignment horizontal="center"/>
    </xf>
    <xf numFmtId="4" fontId="3" fillId="6" borderId="1" xfId="0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25" fillId="11" borderId="1" xfId="0" applyFont="1" applyFill="1" applyBorder="1"/>
    <xf numFmtId="0" fontId="24" fillId="11" borderId="0" xfId="0" applyFont="1" applyFill="1"/>
    <xf numFmtId="0" fontId="25" fillId="11" borderId="3" xfId="0" applyFont="1" applyFill="1" applyBorder="1"/>
    <xf numFmtId="0" fontId="10" fillId="3" borderId="0" xfId="0" applyFont="1" applyFill="1" applyAlignment="1">
      <alignment vertical="center"/>
    </xf>
    <xf numFmtId="0" fontId="0" fillId="0" borderId="0" xfId="0"/>
    <xf numFmtId="0" fontId="21" fillId="0" borderId="0" xfId="0" applyFont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colors>
    <mruColors>
      <color rgb="FF9599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200900</c:v>
                </c:pt>
                <c:pt idx="1">
                  <c:v>229500</c:v>
                </c:pt>
                <c:pt idx="2">
                  <c:v>328850</c:v>
                </c:pt>
                <c:pt idx="3">
                  <c:v>288900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D-4455-9ACA-CEF552F98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Customer (First 10)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Dashboard!$D$10:$D$19</c:f>
              <c:strCache>
                <c:ptCount val="10"/>
                <c:pt idx="0">
                  <c:v>Megha</c:v>
                </c:pt>
                <c:pt idx="1">
                  <c:v>Jayesh</c:v>
                </c:pt>
                <c:pt idx="2">
                  <c:v>Om</c:v>
                </c:pt>
                <c:pt idx="3">
                  <c:v>Vaidehi</c:v>
                </c:pt>
                <c:pt idx="4">
                  <c:v>Vijaya</c:v>
                </c:pt>
                <c:pt idx="5">
                  <c:v>Ranjan</c:v>
                </c:pt>
                <c:pt idx="6">
                  <c:v>Vedant</c:v>
                </c:pt>
                <c:pt idx="7">
                  <c:v>Shankar</c:v>
                </c:pt>
                <c:pt idx="8">
                  <c:v>Hetvi</c:v>
                </c:pt>
                <c:pt idx="9">
                  <c:v>Anurag</c:v>
                </c:pt>
              </c:strCache>
            </c:strRef>
          </c:cat>
          <c:val>
            <c:numRef>
              <c:f>Dashboard!$E$10:$E$19</c:f>
              <c:numCache>
                <c:formatCode>General</c:formatCode>
                <c:ptCount val="10"/>
                <c:pt idx="0">
                  <c:v>56000</c:v>
                </c:pt>
                <c:pt idx="1">
                  <c:v>55000</c:v>
                </c:pt>
                <c:pt idx="2">
                  <c:v>45600</c:v>
                </c:pt>
                <c:pt idx="3">
                  <c:v>45000</c:v>
                </c:pt>
                <c:pt idx="4">
                  <c:v>45000</c:v>
                </c:pt>
                <c:pt idx="5">
                  <c:v>34500</c:v>
                </c:pt>
                <c:pt idx="6">
                  <c:v>34000</c:v>
                </c:pt>
                <c:pt idx="7">
                  <c:v>32000</c:v>
                </c:pt>
                <c:pt idx="8">
                  <c:v>32000</c:v>
                </c:pt>
                <c:pt idx="9">
                  <c:v>30000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3B-4287-9D76-EDE9D7901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Mix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Dashboard!$A$10:$A$13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200900</c:v>
                </c:pt>
                <c:pt idx="1">
                  <c:v>229500</c:v>
                </c:pt>
                <c:pt idx="2">
                  <c:v>328850</c:v>
                </c:pt>
                <c:pt idx="3">
                  <c:v>288900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0-4853-ACD7-34953E56061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[p2 excel.xlsx]Pivot Table!PivotTable1</c:name>
    <c:fmtId val="0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BAR CHART</a:t>
            </a:r>
          </a:p>
        </c:rich>
      </c:tx>
      <c:layout>
        <c:manualLayout>
          <c:xMode val="edge"/>
          <c:yMode val="edge"/>
          <c:x val="0.40358333333333329"/>
          <c:y val="6.3794109069699623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'Pivot Table'!$A$2:$A$58</c:f>
              <c:multiLvlStrCache>
                <c:ptCount val="51"/>
                <c:lvl>
                  <c:pt idx="0">
                    <c:v>ac</c:v>
                  </c:pt>
                  <c:pt idx="1">
                    <c:v>Bluetooth Speaker</c:v>
                  </c:pt>
                  <c:pt idx="2">
                    <c:v>Electric Kettle</c:v>
                  </c:pt>
                  <c:pt idx="3">
                    <c:v>Game Controller</c:v>
                  </c:pt>
                  <c:pt idx="4">
                    <c:v>Graphics Card</c:v>
                  </c:pt>
                  <c:pt idx="5">
                    <c:v>headphone</c:v>
                  </c:pt>
                  <c:pt idx="6">
                    <c:v>Microwave Oven</c:v>
                  </c:pt>
                  <c:pt idx="7">
                    <c:v>Monitor</c:v>
                  </c:pt>
                  <c:pt idx="8">
                    <c:v>speckar</c:v>
                  </c:pt>
                  <c:pt idx="9">
                    <c:v>USB Cable</c:v>
                  </c:pt>
                  <c:pt idx="10">
                    <c:v>Cooling Pad</c:v>
                  </c:pt>
                  <c:pt idx="11">
                    <c:v>Gaming Mouse</c:v>
                  </c:pt>
                  <c:pt idx="12">
                    <c:v>laptop</c:v>
                  </c:pt>
                  <c:pt idx="13">
                    <c:v>Mobile Cover</c:v>
                  </c:pt>
                  <c:pt idx="14">
                    <c:v>Mouse</c:v>
                  </c:pt>
                  <c:pt idx="15">
                    <c:v>Pendrive</c:v>
                  </c:pt>
                  <c:pt idx="16">
                    <c:v>Projector</c:v>
                  </c:pt>
                  <c:pt idx="17">
                    <c:v>RAM</c:v>
                  </c:pt>
                  <c:pt idx="18">
                    <c:v>Refrigerator</c:v>
                  </c:pt>
                  <c:pt idx="19">
                    <c:v>Smart TV</c:v>
                  </c:pt>
                  <c:pt idx="20">
                    <c:v>SSD</c:v>
                  </c:pt>
                  <c:pt idx="21">
                    <c:v>Wi-Fi Adapter</c:v>
                  </c:pt>
                  <c:pt idx="22">
                    <c:v>Air Conditioner</c:v>
                  </c:pt>
                  <c:pt idx="23">
                    <c:v>bluetuth</c:v>
                  </c:pt>
                  <c:pt idx="24">
                    <c:v>Earbuds</c:v>
                  </c:pt>
                  <c:pt idx="25">
                    <c:v>fridge</c:v>
                  </c:pt>
                  <c:pt idx="26">
                    <c:v>Hard Disk</c:v>
                  </c:pt>
                  <c:pt idx="27">
                    <c:v>Keyboard</c:v>
                  </c:pt>
                  <c:pt idx="28">
                    <c:v>Laptop Stand</c:v>
                  </c:pt>
                  <c:pt idx="29">
                    <c:v>Microphone</c:v>
                  </c:pt>
                  <c:pt idx="30">
                    <c:v>Power Bank</c:v>
                  </c:pt>
                  <c:pt idx="31">
                    <c:v>Power Supply</c:v>
                  </c:pt>
                  <c:pt idx="32">
                    <c:v>Screen Protector</c:v>
                  </c:pt>
                  <c:pt idx="33">
                    <c:v>smartwatch</c:v>
                  </c:pt>
                  <c:pt idx="34">
                    <c:v>Tablet</c:v>
                  </c:pt>
                  <c:pt idx="35">
                    <c:v>washing machine</c:v>
                  </c:pt>
                  <c:pt idx="36">
                    <c:v>air pode</c:v>
                  </c:pt>
                  <c:pt idx="37">
                    <c:v>blender</c:v>
                  </c:pt>
                  <c:pt idx="38">
                    <c:v>Camera</c:v>
                  </c:pt>
                  <c:pt idx="39">
                    <c:v>Charger</c:v>
                  </c:pt>
                  <c:pt idx="40">
                    <c:v>Gaming Keyboard</c:v>
                  </c:pt>
                  <c:pt idx="41">
                    <c:v>HDMI Cable</c:v>
                  </c:pt>
                  <c:pt idx="42">
                    <c:v>Iron</c:v>
                  </c:pt>
                  <c:pt idx="43">
                    <c:v>mobile</c:v>
                  </c:pt>
                  <c:pt idx="44">
                    <c:v>Printer</c:v>
                  </c:pt>
                  <c:pt idx="45">
                    <c:v>Router</c:v>
                  </c:pt>
                  <c:pt idx="46">
                    <c:v>Smart Watch</c:v>
                  </c:pt>
                  <c:pt idx="47">
                    <c:v>tv</c:v>
                  </c:pt>
                  <c:pt idx="48">
                    <c:v>washing machine</c:v>
                  </c:pt>
                  <c:pt idx="49">
                    <c:v>Webcam</c:v>
                  </c:pt>
                  <c:pt idx="50">
                    <c:v>(blank)</c:v>
                  </c:pt>
                </c:lvl>
                <c:lvl>
                  <c:pt idx="0">
                    <c:v>East</c:v>
                  </c:pt>
                  <c:pt idx="10">
                    <c:v>North</c:v>
                  </c:pt>
                  <c:pt idx="22">
                    <c:v>South</c:v>
                  </c:pt>
                  <c:pt idx="36">
                    <c:v>West</c:v>
                  </c:pt>
                  <c:pt idx="50">
                    <c:v>(blank)</c:v>
                  </c:pt>
                </c:lvl>
              </c:multiLvlStrCache>
            </c:multiLvlStrRef>
          </c:cat>
          <c:val>
            <c:numRef>
              <c:f>'Pivot Table'!$B$2:$B$58</c:f>
              <c:numCache>
                <c:formatCode>General</c:formatCode>
                <c:ptCount val="51"/>
                <c:pt idx="0">
                  <c:v>56000</c:v>
                </c:pt>
                <c:pt idx="1">
                  <c:v>8500</c:v>
                </c:pt>
                <c:pt idx="2">
                  <c:v>10500</c:v>
                </c:pt>
                <c:pt idx="3">
                  <c:v>9700</c:v>
                </c:pt>
                <c:pt idx="4">
                  <c:v>8900</c:v>
                </c:pt>
                <c:pt idx="5">
                  <c:v>18500</c:v>
                </c:pt>
                <c:pt idx="6">
                  <c:v>16500</c:v>
                </c:pt>
                <c:pt idx="7">
                  <c:v>9800</c:v>
                </c:pt>
                <c:pt idx="8">
                  <c:v>45000</c:v>
                </c:pt>
                <c:pt idx="9">
                  <c:v>17500</c:v>
                </c:pt>
                <c:pt idx="10">
                  <c:v>7200</c:v>
                </c:pt>
                <c:pt idx="11">
                  <c:v>14500</c:v>
                </c:pt>
                <c:pt idx="12">
                  <c:v>45000</c:v>
                </c:pt>
                <c:pt idx="13">
                  <c:v>10500</c:v>
                </c:pt>
                <c:pt idx="14">
                  <c:v>25000</c:v>
                </c:pt>
                <c:pt idx="15">
                  <c:v>27500</c:v>
                </c:pt>
                <c:pt idx="16">
                  <c:v>19500</c:v>
                </c:pt>
                <c:pt idx="17">
                  <c:v>16800</c:v>
                </c:pt>
                <c:pt idx="18">
                  <c:v>13500</c:v>
                </c:pt>
                <c:pt idx="19">
                  <c:v>13500</c:v>
                </c:pt>
                <c:pt idx="20">
                  <c:v>12500</c:v>
                </c:pt>
                <c:pt idx="21">
                  <c:v>24000</c:v>
                </c:pt>
                <c:pt idx="22">
                  <c:v>8750</c:v>
                </c:pt>
                <c:pt idx="23">
                  <c:v>23900</c:v>
                </c:pt>
                <c:pt idx="24">
                  <c:v>21000</c:v>
                </c:pt>
                <c:pt idx="25">
                  <c:v>55000</c:v>
                </c:pt>
                <c:pt idx="26">
                  <c:v>11000</c:v>
                </c:pt>
                <c:pt idx="27">
                  <c:v>7500</c:v>
                </c:pt>
                <c:pt idx="28">
                  <c:v>32000</c:v>
                </c:pt>
                <c:pt idx="29">
                  <c:v>7600</c:v>
                </c:pt>
                <c:pt idx="30">
                  <c:v>30000</c:v>
                </c:pt>
                <c:pt idx="31">
                  <c:v>15500</c:v>
                </c:pt>
                <c:pt idx="32">
                  <c:v>26000</c:v>
                </c:pt>
                <c:pt idx="33">
                  <c:v>45600</c:v>
                </c:pt>
                <c:pt idx="34">
                  <c:v>22000</c:v>
                </c:pt>
                <c:pt idx="35">
                  <c:v>23000</c:v>
                </c:pt>
                <c:pt idx="36">
                  <c:v>12000</c:v>
                </c:pt>
                <c:pt idx="37">
                  <c:v>32000</c:v>
                </c:pt>
                <c:pt idx="38">
                  <c:v>28500</c:v>
                </c:pt>
                <c:pt idx="39">
                  <c:v>9200</c:v>
                </c:pt>
                <c:pt idx="40">
                  <c:v>23000</c:v>
                </c:pt>
                <c:pt idx="41">
                  <c:v>18000</c:v>
                </c:pt>
                <c:pt idx="42">
                  <c:v>29000</c:v>
                </c:pt>
                <c:pt idx="43">
                  <c:v>34500</c:v>
                </c:pt>
                <c:pt idx="44">
                  <c:v>15000</c:v>
                </c:pt>
                <c:pt idx="45">
                  <c:v>11200</c:v>
                </c:pt>
                <c:pt idx="46">
                  <c:v>6500</c:v>
                </c:pt>
                <c:pt idx="47">
                  <c:v>34000</c:v>
                </c:pt>
                <c:pt idx="48">
                  <c:v>22000</c:v>
                </c:pt>
                <c:pt idx="49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8-408A-8DA5-504CC9B8C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4515423"/>
        <c:axId val="1053718127"/>
      </c:barChart>
      <c:catAx>
        <c:axId val="1764515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53718127"/>
        <c:crosses val="autoZero"/>
        <c:auto val="1"/>
        <c:lblAlgn val="ctr"/>
        <c:lblOffset val="100"/>
        <c:noMultiLvlLbl val="0"/>
      </c:catAx>
      <c:valAx>
        <c:axId val="105371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6451542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Customer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46546296296296302"/>
          <c:w val="0.89655796150481193"/>
          <c:h val="0.40052451577424231"/>
        </c:manualLayout>
      </c:layout>
      <c:lineChart>
        <c:grouping val="standard"/>
        <c:varyColors val="0"/>
        <c:ser>
          <c:idx val="0"/>
          <c:order val="0"/>
          <c:tx>
            <c:strRef>
              <c:f>Dataset!$E$1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Dataset!$B$2:$B$51</c:f>
              <c:strCache>
                <c:ptCount val="50"/>
                <c:pt idx="0">
                  <c:v>Megha</c:v>
                </c:pt>
                <c:pt idx="1">
                  <c:v>Jayesh</c:v>
                </c:pt>
                <c:pt idx="2">
                  <c:v>Om</c:v>
                </c:pt>
                <c:pt idx="3">
                  <c:v>Vaidehi</c:v>
                </c:pt>
                <c:pt idx="4">
                  <c:v>Vijaya</c:v>
                </c:pt>
                <c:pt idx="5">
                  <c:v>Ranjan</c:v>
                </c:pt>
                <c:pt idx="6">
                  <c:v>Vedant</c:v>
                </c:pt>
                <c:pt idx="7">
                  <c:v>Shankar</c:v>
                </c:pt>
                <c:pt idx="8">
                  <c:v>Hetvi</c:v>
                </c:pt>
                <c:pt idx="9">
                  <c:v>Anurag</c:v>
                </c:pt>
                <c:pt idx="10">
                  <c:v>Ved</c:v>
                </c:pt>
                <c:pt idx="11">
                  <c:v>Pooja</c:v>
                </c:pt>
                <c:pt idx="12">
                  <c:v>Vikram</c:v>
                </c:pt>
                <c:pt idx="13">
                  <c:v>Yash</c:v>
                </c:pt>
                <c:pt idx="14">
                  <c:v>Siya</c:v>
                </c:pt>
                <c:pt idx="15">
                  <c:v>Krisha</c:v>
                </c:pt>
                <c:pt idx="16">
                  <c:v>Vaishali</c:v>
                </c:pt>
                <c:pt idx="17">
                  <c:v>Jagdish</c:v>
                </c:pt>
                <c:pt idx="18">
                  <c:v>Dev</c:v>
                </c:pt>
                <c:pt idx="19">
                  <c:v>Niya</c:v>
                </c:pt>
                <c:pt idx="20">
                  <c:v>Krish</c:v>
                </c:pt>
                <c:pt idx="21">
                  <c:v>Diya</c:v>
                </c:pt>
                <c:pt idx="22">
                  <c:v>Sneha</c:v>
                </c:pt>
                <c:pt idx="23">
                  <c:v>Piya</c:v>
                </c:pt>
                <c:pt idx="24">
                  <c:v>Aarav</c:v>
                </c:pt>
                <c:pt idx="25">
                  <c:v>Aarambhi</c:v>
                </c:pt>
                <c:pt idx="26">
                  <c:v>Priya</c:v>
                </c:pt>
                <c:pt idx="27">
                  <c:v>Soham</c:v>
                </c:pt>
                <c:pt idx="28">
                  <c:v>Mahi</c:v>
                </c:pt>
                <c:pt idx="29">
                  <c:v>Jiya</c:v>
                </c:pt>
                <c:pt idx="30">
                  <c:v>Harsh</c:v>
                </c:pt>
                <c:pt idx="31">
                  <c:v>Sara</c:v>
                </c:pt>
                <c:pt idx="32">
                  <c:v>Anjali</c:v>
                </c:pt>
                <c:pt idx="33">
                  <c:v>Parth</c:v>
                </c:pt>
                <c:pt idx="34">
                  <c:v>Yesha</c:v>
                </c:pt>
                <c:pt idx="35">
                  <c:v>Riya</c:v>
                </c:pt>
                <c:pt idx="36">
                  <c:v>Aisha</c:v>
                </c:pt>
                <c:pt idx="37">
                  <c:v>Vishvam</c:v>
                </c:pt>
                <c:pt idx="38">
                  <c:v>Dhruv</c:v>
                </c:pt>
                <c:pt idx="39">
                  <c:v>Manav</c:v>
                </c:pt>
                <c:pt idx="40">
                  <c:v>Kiya</c:v>
                </c:pt>
                <c:pt idx="41">
                  <c:v>Meet</c:v>
                </c:pt>
                <c:pt idx="42">
                  <c:v>Khushi</c:v>
                </c:pt>
                <c:pt idx="43">
                  <c:v>Jinal</c:v>
                </c:pt>
                <c:pt idx="44">
                  <c:v>Raj</c:v>
                </c:pt>
                <c:pt idx="45">
                  <c:v>Satya</c:v>
                </c:pt>
                <c:pt idx="46">
                  <c:v>Neha</c:v>
                </c:pt>
                <c:pt idx="47">
                  <c:v>Miya</c:v>
                </c:pt>
                <c:pt idx="48">
                  <c:v>Riddhi</c:v>
                </c:pt>
                <c:pt idx="49">
                  <c:v>Liya</c:v>
                </c:pt>
              </c:strCache>
            </c:strRef>
          </c:cat>
          <c:val>
            <c:numRef>
              <c:f>Dataset!$E$2:$E$51</c:f>
              <c:numCache>
                <c:formatCode>General</c:formatCode>
                <c:ptCount val="50"/>
                <c:pt idx="0">
                  <c:v>56000</c:v>
                </c:pt>
                <c:pt idx="1">
                  <c:v>55000</c:v>
                </c:pt>
                <c:pt idx="2">
                  <c:v>45600</c:v>
                </c:pt>
                <c:pt idx="3">
                  <c:v>45000</c:v>
                </c:pt>
                <c:pt idx="4">
                  <c:v>45000</c:v>
                </c:pt>
                <c:pt idx="5">
                  <c:v>34500</c:v>
                </c:pt>
                <c:pt idx="6">
                  <c:v>34000</c:v>
                </c:pt>
                <c:pt idx="7">
                  <c:v>32000</c:v>
                </c:pt>
                <c:pt idx="8">
                  <c:v>32000</c:v>
                </c:pt>
                <c:pt idx="9">
                  <c:v>30000</c:v>
                </c:pt>
                <c:pt idx="10">
                  <c:v>29000</c:v>
                </c:pt>
                <c:pt idx="11">
                  <c:v>28500</c:v>
                </c:pt>
                <c:pt idx="12">
                  <c:v>27500</c:v>
                </c:pt>
                <c:pt idx="13">
                  <c:v>26000</c:v>
                </c:pt>
                <c:pt idx="14">
                  <c:v>25000</c:v>
                </c:pt>
                <c:pt idx="15">
                  <c:v>24000</c:v>
                </c:pt>
                <c:pt idx="16">
                  <c:v>23900</c:v>
                </c:pt>
                <c:pt idx="17">
                  <c:v>23000</c:v>
                </c:pt>
                <c:pt idx="18">
                  <c:v>23000</c:v>
                </c:pt>
                <c:pt idx="19">
                  <c:v>22000</c:v>
                </c:pt>
                <c:pt idx="20">
                  <c:v>22000</c:v>
                </c:pt>
                <c:pt idx="21">
                  <c:v>21000</c:v>
                </c:pt>
                <c:pt idx="22">
                  <c:v>19500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16800</c:v>
                </c:pt>
                <c:pt idx="27">
                  <c:v>16500</c:v>
                </c:pt>
                <c:pt idx="28">
                  <c:v>15500</c:v>
                </c:pt>
                <c:pt idx="29">
                  <c:v>15000</c:v>
                </c:pt>
                <c:pt idx="30">
                  <c:v>14500</c:v>
                </c:pt>
                <c:pt idx="31">
                  <c:v>14000</c:v>
                </c:pt>
                <c:pt idx="32">
                  <c:v>13500</c:v>
                </c:pt>
                <c:pt idx="33">
                  <c:v>13500</c:v>
                </c:pt>
                <c:pt idx="34">
                  <c:v>12500</c:v>
                </c:pt>
                <c:pt idx="35">
                  <c:v>12000</c:v>
                </c:pt>
                <c:pt idx="36">
                  <c:v>11200</c:v>
                </c:pt>
                <c:pt idx="37">
                  <c:v>11000</c:v>
                </c:pt>
                <c:pt idx="38">
                  <c:v>10500</c:v>
                </c:pt>
                <c:pt idx="39">
                  <c:v>10500</c:v>
                </c:pt>
                <c:pt idx="40">
                  <c:v>9800</c:v>
                </c:pt>
                <c:pt idx="41">
                  <c:v>9700</c:v>
                </c:pt>
                <c:pt idx="42">
                  <c:v>9200</c:v>
                </c:pt>
                <c:pt idx="43">
                  <c:v>8900</c:v>
                </c:pt>
                <c:pt idx="44">
                  <c:v>8750</c:v>
                </c:pt>
                <c:pt idx="45">
                  <c:v>8500</c:v>
                </c:pt>
                <c:pt idx="46">
                  <c:v>7600</c:v>
                </c:pt>
                <c:pt idx="47">
                  <c:v>7500</c:v>
                </c:pt>
                <c:pt idx="48">
                  <c:v>7200</c:v>
                </c:pt>
                <c:pt idx="49">
                  <c:v>6500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67-4E23-BE12-70F13AD3E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67919"/>
        <c:axId val="1053721487"/>
      </c:lineChart>
      <c:catAx>
        <c:axId val="1698967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53721487"/>
        <c:crosses val="autoZero"/>
        <c:auto val="1"/>
        <c:lblAlgn val="ctr"/>
        <c:lblOffset val="100"/>
        <c:noMultiLvlLbl val="0"/>
      </c:catAx>
      <c:valAx>
        <c:axId val="10537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9896791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15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142876</xdr:colOff>
      <xdr:row>1</xdr:row>
      <xdr:rowOff>33337</xdr:rowOff>
    </xdr:from>
    <xdr:to>
      <xdr:col>11</xdr:col>
      <xdr:colOff>180976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19436</xdr:colOff>
      <xdr:row>9</xdr:row>
      <xdr:rowOff>29157</xdr:rowOff>
    </xdr:from>
    <xdr:to>
      <xdr:col>21</xdr:col>
      <xdr:colOff>116633</xdr:colOff>
      <xdr:row>24</xdr:row>
      <xdr:rowOff>174947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Jodhani" refreshedDate="46303.677794328702" createdVersion="8" refreshedVersion="8" minRefreshableVersion="3" recordCount="56" xr:uid="{00000000-000A-0000-FFFF-FFFF04000000}">
  <cacheSource type="worksheet">
    <worksheetSource ref="A1:K57" sheet="Dataset"/>
  </cacheSource>
  <cacheFields count="11">
    <cacheField name="Customber id" numFmtId="0">
      <sharedItems containsString="0" containsBlank="1" containsNumber="1" containsInteger="1" minValue="101" maxValue="150"/>
    </cacheField>
    <cacheField name="Customber name" numFmtId="0">
      <sharedItems containsBlank="1"/>
    </cacheField>
    <cacheField name="Region" numFmtId="0">
      <sharedItems containsBlank="1" count="5">
        <s v="East"/>
        <s v="South"/>
        <s v="North"/>
        <s v="West"/>
        <m/>
      </sharedItems>
    </cacheField>
    <cacheField name="Product" numFmtId="0">
      <sharedItems containsBlank="1" count="50">
        <s v="ac"/>
        <s v="fridge"/>
        <s v="smartwatch"/>
        <s v="laptop"/>
        <s v="speckar"/>
        <s v="mobile"/>
        <s v="tv"/>
        <s v="blender"/>
        <s v="Laptop Stand"/>
        <s v="Power Bank"/>
        <s v="Iron"/>
        <s v="Camera"/>
        <s v="Pendrive"/>
        <s v="Screen Protector"/>
        <s v="Mouse"/>
        <s v="Wi-Fi Adapter"/>
        <s v="bluetuth"/>
        <s v="washing machine"/>
        <s v="Gaming Keyboard"/>
        <s v="Tablet"/>
        <s v="Earbuds"/>
        <s v="Projector"/>
        <s v="headphone"/>
        <s v="HDMI Cable"/>
        <s v="USB Cable"/>
        <s v="RAM"/>
        <s v="Microwave Oven"/>
        <s v="Power Supply"/>
        <s v="Printer"/>
        <s v="Gaming Mouse"/>
        <s v="Webcam"/>
        <s v="Smart TV"/>
        <s v="Refrigerator"/>
        <s v="SSD"/>
        <s v="air pode"/>
        <s v="Router"/>
        <s v="Hard Disk"/>
        <s v="Mobile Cover"/>
        <s v="Electric Kettle"/>
        <s v="Monitor"/>
        <s v="Game Controller"/>
        <s v="Charger"/>
        <s v="Graphics Card"/>
        <s v="Air Conditioner"/>
        <s v="Bluetooth Speaker"/>
        <s v="Microphone"/>
        <s v="Keyboard"/>
        <s v="Cooling Pad"/>
        <s v="Smart Watch"/>
        <m/>
      </sharedItems>
    </cacheField>
    <cacheField name="sales" numFmtId="0">
      <sharedItems containsString="0" containsBlank="1" containsNumber="1" containsInteger="1" minValue="6500" maxValue="56000"/>
    </cacheField>
    <cacheField name="Discount" numFmtId="0">
      <sharedItems containsString="0" containsBlank="1" containsNumber="1" minValue="0.05" maxValue="0.67"/>
    </cacheField>
    <cacheField name="profit" numFmtId="0">
      <sharedItems containsString="0" containsBlank="1" containsNumber="1" minValue="5200" maxValue="44800"/>
    </cacheField>
    <cacheField name="Monthly sales growth" numFmtId="0">
      <sharedItems containsString="0" containsBlank="1" containsNumber="1" minValue="-1" maxValue="0"/>
    </cacheField>
    <cacheField name="Timestamp" numFmtId="0">
      <sharedItems containsNonDate="0" containsDate="1" containsString="0" containsBlank="1" minDate="2026-10-08T16:13:05" maxDate="2026-10-08T16:13:05"/>
    </cacheField>
    <cacheField name="Monthly Sales Trend" numFmtId="0">
      <sharedItems containsBlank="1"/>
    </cacheField>
    <cacheField name="High value custo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6">
  <r>
    <n v="104"/>
    <s v="Megha"/>
    <x v="0"/>
    <x v="0"/>
    <n v="56000"/>
    <n v="0.2"/>
    <n v="44800"/>
    <n v="-0.01785714285714286"/>
    <d v="2026-10-08T16:13:05"/>
    <s v="↓"/>
    <s v="Megha"/>
  </r>
  <r>
    <n v="103"/>
    <s v="Jayesh"/>
    <x v="1"/>
    <x v="1"/>
    <n v="55000"/>
    <n v="0.2"/>
    <n v="44000"/>
    <n v="-0.1709090909090909"/>
    <d v="2026-10-08T16:13:05"/>
    <s v="↓"/>
    <m/>
  </r>
  <r>
    <n v="105"/>
    <s v="Om"/>
    <x v="1"/>
    <x v="2"/>
    <n v="45600"/>
    <n v="0.4"/>
    <n v="27360"/>
    <n v="-0.0131578947368421"/>
    <d v="2026-10-08T16:13:05"/>
    <s v="↓"/>
    <m/>
  </r>
  <r>
    <n v="101"/>
    <s v="Vaidehi"/>
    <x v="2"/>
    <x v="3"/>
    <n v="45000"/>
    <n v="0.5"/>
    <n v="22500"/>
    <n v="0"/>
    <d v="2026-10-08T16:13:05"/>
    <s v="↓"/>
    <s v="Vaidehi"/>
  </r>
  <r>
    <n v="109"/>
    <s v="Vijaya"/>
    <x v="0"/>
    <x v="4"/>
    <n v="45000"/>
    <n v="0.67"/>
    <n v="14850"/>
    <n v="-0.2333333333333333"/>
    <d v="2026-10-08T16:13:05"/>
    <s v="↓"/>
    <m/>
  </r>
  <r>
    <n v="106"/>
    <s v="Ranjan"/>
    <x v="3"/>
    <x v="5"/>
    <n v="34500"/>
    <n v="0.34"/>
    <n v="22770"/>
    <n v="-0.01449275362318841"/>
    <d v="2026-10-08T16:13:05"/>
    <s v="↓"/>
    <m/>
  </r>
  <r>
    <n v="102"/>
    <s v="Vedant"/>
    <x v="3"/>
    <x v="6"/>
    <n v="34000"/>
    <n v="0.3"/>
    <n v="23800"/>
    <n v="-0.05882352941176471"/>
    <d v="2026-10-08T16:13:05"/>
    <s v="↓"/>
    <m/>
  </r>
  <r>
    <n v="108"/>
    <s v="Shankar"/>
    <x v="3"/>
    <x v="7"/>
    <n v="32000"/>
    <n v="0.45"/>
    <n v="17600"/>
    <n v="0"/>
    <d v="2026-10-08T16:13:05"/>
    <s v="↓"/>
    <m/>
  </r>
  <r>
    <n v="137"/>
    <s v="Hetvi"/>
    <x v="1"/>
    <x v="8"/>
    <n v="32000"/>
    <n v="0.16"/>
    <n v="26880"/>
    <n v="-0.0625"/>
    <d v="2026-10-08T16:13:05"/>
    <s v="↓"/>
    <m/>
  </r>
  <r>
    <n v="120"/>
    <s v="Anurag"/>
    <x v="1"/>
    <x v="9"/>
    <n v="30000"/>
    <n v="0.25"/>
    <n v="22500"/>
    <n v="-0.03333333333333333"/>
    <d v="2026-10-08T16:13:05"/>
    <s v="↓"/>
    <m/>
  </r>
  <r>
    <n v="149"/>
    <s v="Ved"/>
    <x v="3"/>
    <x v="10"/>
    <n v="29000"/>
    <n v="0.08"/>
    <n v="26680"/>
    <n v="-0.01724137931034483"/>
    <d v="2026-10-08T16:13:05"/>
    <s v="↓"/>
    <m/>
  </r>
  <r>
    <n v="130"/>
    <s v="Pooja"/>
    <x v="3"/>
    <x v="11"/>
    <n v="28500"/>
    <n v="0.25"/>
    <n v="21375"/>
    <n v="-0.03508771929824561"/>
    <d v="2026-10-08T16:13:05"/>
    <s v="↓"/>
    <m/>
  </r>
  <r>
    <n v="123"/>
    <s v="Vikram"/>
    <x v="2"/>
    <x v="12"/>
    <n v="27500"/>
    <n v="0.15"/>
    <n v="23375"/>
    <n v="-0.05454545454545454"/>
    <d v="2026-10-08T16:13:05"/>
    <s v="↓"/>
    <m/>
  </r>
  <r>
    <n v="141"/>
    <s v="Yash"/>
    <x v="1"/>
    <x v="13"/>
    <n v="26000"/>
    <n v="0.05"/>
    <n v="24700"/>
    <n v="-0.03846153846153846"/>
    <d v="2026-10-08T16:13:05"/>
    <s v="↓"/>
    <m/>
  </r>
  <r>
    <n v="114"/>
    <s v="Siya"/>
    <x v="2"/>
    <x v="14"/>
    <n v="25000"/>
    <n v="0.18"/>
    <n v="20500"/>
    <n v="-0.04"/>
    <d v="2026-10-08T16:13:05"/>
    <s v="↓"/>
    <m/>
  </r>
  <r>
    <n v="134"/>
    <s v="Krisha"/>
    <x v="2"/>
    <x v="15"/>
    <n v="24000"/>
    <n v="0.09"/>
    <n v="21840"/>
    <n v="-0.004166666666666667"/>
    <d v="2026-10-08T16:13:05"/>
    <s v="↓"/>
    <m/>
  </r>
  <r>
    <n v="110"/>
    <s v="Vaishali"/>
    <x v="1"/>
    <x v="16"/>
    <n v="23900"/>
    <n v="0.46"/>
    <n v="12906"/>
    <n v="-0.03765690376569038"/>
    <d v="2026-10-08T16:13:05"/>
    <s v="↓"/>
    <m/>
  </r>
  <r>
    <n v="107"/>
    <s v="Jagdish"/>
    <x v="1"/>
    <x v="17"/>
    <n v="23000"/>
    <n v="0.65"/>
    <n v="8050"/>
    <n v="0"/>
    <d v="2026-10-08T16:13:05"/>
    <s v="↓"/>
    <m/>
  </r>
  <r>
    <n v="143"/>
    <s v="Dev"/>
    <x v="3"/>
    <x v="18"/>
    <n v="23000"/>
    <n v="0.12"/>
    <n v="20240"/>
    <n v="-0.04347826086956522"/>
    <d v="2026-10-08T16:13:05"/>
    <s v="↓"/>
    <m/>
  </r>
  <r>
    <n v="117"/>
    <s v="Niya"/>
    <x v="1"/>
    <x v="19"/>
    <n v="22000"/>
    <n v="0.1"/>
    <n v="19800"/>
    <n v="0"/>
    <d v="2026-10-08T16:13:05"/>
    <s v="↓"/>
    <m/>
  </r>
  <r>
    <n v="146"/>
    <s v="Krish"/>
    <x v="3"/>
    <x v="17"/>
    <n v="22000"/>
    <n v="0.15"/>
    <n v="18700"/>
    <n v="-0.04545454545454546"/>
    <d v="2026-10-08T16:13:05"/>
    <s v="↓"/>
    <m/>
  </r>
  <r>
    <n v="128"/>
    <s v="Diya"/>
    <x v="1"/>
    <x v="20"/>
    <n v="21000"/>
    <n v="0.18"/>
    <n v="17220"/>
    <n v="-0.07142857142857142"/>
    <d v="2026-10-08T16:13:05"/>
    <s v="↓"/>
    <m/>
  </r>
  <r>
    <n v="132"/>
    <s v="Sneha"/>
    <x v="2"/>
    <x v="21"/>
    <n v="19500"/>
    <n v="0.06"/>
    <n v="18330"/>
    <n v="-0.05128205128205128"/>
    <d v="2026-10-08T16:13:05"/>
    <s v="↓"/>
    <m/>
  </r>
  <r>
    <n v="112"/>
    <s v="Piya"/>
    <x v="0"/>
    <x v="22"/>
    <n v="18500"/>
    <n v="0.08"/>
    <n v="17020"/>
    <n v="-0.02702702702702703"/>
    <d v="2026-10-08T16:13:05"/>
    <s v="↓"/>
    <m/>
  </r>
  <r>
    <n v="139"/>
    <s v="Aarav"/>
    <x v="3"/>
    <x v="23"/>
    <n v="18000"/>
    <n v="0.25"/>
    <n v="13500"/>
    <n v="-0.02777777777777778"/>
    <d v="2026-10-08T16:13:05"/>
    <s v="↓"/>
    <m/>
  </r>
  <r>
    <n v="119"/>
    <s v="Aarambhi"/>
    <x v="0"/>
    <x v="24"/>
    <n v="17500"/>
    <n v="0.07000000000000001"/>
    <n v="16275"/>
    <n v="-0.04"/>
    <d v="2026-10-08T16:13:05"/>
    <s v="↓"/>
    <m/>
  </r>
  <r>
    <n v="126"/>
    <s v="Priya"/>
    <x v="2"/>
    <x v="25"/>
    <n v="16800"/>
    <n v="0.08"/>
    <n v="15456"/>
    <n v="-0.01785714285714286"/>
    <d v="2026-10-08T16:13:05"/>
    <s v="↓"/>
    <m/>
  </r>
  <r>
    <n v="148"/>
    <s v="Soham"/>
    <x v="0"/>
    <x v="26"/>
    <n v="16500"/>
    <n v="0.2"/>
    <n v="13200"/>
    <n v="-0.06060606060606061"/>
    <d v="2026-10-08T16:13:05"/>
    <s v="↓"/>
    <m/>
  </r>
  <r>
    <n v="136"/>
    <s v="Mahi"/>
    <x v="1"/>
    <x v="27"/>
    <n v="15500"/>
    <n v="0.11"/>
    <n v="13795"/>
    <n v="-0.03225806451612903"/>
    <d v="2026-10-08T16:13:05"/>
    <s v="↓"/>
    <m/>
  </r>
  <r>
    <n v="116"/>
    <s v="Jiya"/>
    <x v="3"/>
    <x v="28"/>
    <n v="15000"/>
    <n v="0.15"/>
    <n v="12750"/>
    <n v="-0.03333333333333333"/>
    <d v="2026-10-08T16:13:05"/>
    <s v="↓"/>
    <m/>
  </r>
  <r>
    <n v="142"/>
    <s v="Harsh"/>
    <x v="2"/>
    <x v="29"/>
    <n v="14500"/>
    <n v="0.07000000000000001"/>
    <n v="13485"/>
    <n v="-0.03448275862068965"/>
    <d v="2026-10-08T16:13:05"/>
    <s v="↓"/>
    <m/>
  </r>
  <r>
    <n v="122"/>
    <s v="Sara"/>
    <x v="3"/>
    <x v="30"/>
    <n v="14000"/>
    <n v="0.1"/>
    <n v="12600"/>
    <n v="-0.03571428571428571"/>
    <d v="2026-10-08T16:13:05"/>
    <s v="↓"/>
    <m/>
  </r>
  <r>
    <n v="129"/>
    <s v="Anjali"/>
    <x v="2"/>
    <x v="31"/>
    <n v="13500"/>
    <n v="0.07000000000000001"/>
    <n v="12555"/>
    <n v="0"/>
    <d v="2026-10-08T16:13:05"/>
    <s v="↓"/>
    <m/>
  </r>
  <r>
    <n v="145"/>
    <s v="Parth"/>
    <x v="2"/>
    <x v="32"/>
    <n v="13500"/>
    <n v="0.1"/>
    <n v="12150"/>
    <n v="-0.07407407407407407"/>
    <d v="2026-10-08T16:13:05"/>
    <s v="↓"/>
    <m/>
  </r>
  <r>
    <n v="125"/>
    <s v="Yesha"/>
    <x v="2"/>
    <x v="33"/>
    <n v="12500"/>
    <n v="0.2"/>
    <n v="10000"/>
    <n v="-0.04"/>
    <d v="2026-10-08T16:13:05"/>
    <s v="↓"/>
    <m/>
  </r>
  <r>
    <n v="111"/>
    <s v="Riya"/>
    <x v="3"/>
    <x v="34"/>
    <n v="12000"/>
    <n v="0.24"/>
    <n v="9120"/>
    <n v="-0.06666666666666667"/>
    <d v="2026-10-08T16:13:05"/>
    <s v="↓"/>
    <m/>
  </r>
  <r>
    <n v="133"/>
    <s v="Aisha"/>
    <x v="3"/>
    <x v="35"/>
    <n v="11200"/>
    <n v="0.14"/>
    <n v="9632"/>
    <n v="-0.01785714285714286"/>
    <d v="2026-10-08T16:13:05"/>
    <s v="↓"/>
    <m/>
  </r>
  <r>
    <n v="124"/>
    <s v="Vishvam"/>
    <x v="1"/>
    <x v="36"/>
    <n v="11000"/>
    <n v="0.05"/>
    <n v="10450"/>
    <n v="-0.04545454545454546"/>
    <d v="2026-10-08T16:13:05"/>
    <s v="↓"/>
    <m/>
  </r>
  <r>
    <n v="140"/>
    <s v="Dhruv"/>
    <x v="2"/>
    <x v="37"/>
    <n v="10500"/>
    <n v="0.13"/>
    <n v="9135"/>
    <n v="0"/>
    <d v="2026-10-08T16:13:05"/>
    <s v="↓"/>
    <m/>
  </r>
  <r>
    <n v="150"/>
    <s v="Manav"/>
    <x v="0"/>
    <x v="38"/>
    <n v="10500"/>
    <n v="0.25"/>
    <n v="7875"/>
    <n v="-0.06666666666666667"/>
    <d v="2026-10-08T16:13:05"/>
    <s v="↓"/>
    <m/>
  </r>
  <r>
    <n v="115"/>
    <s v="Kiya"/>
    <x v="0"/>
    <x v="39"/>
    <n v="9800"/>
    <n v="0.05"/>
    <n v="9310"/>
    <n v="-0.01020408163265306"/>
    <d v="2026-10-08T16:13:05"/>
    <s v="↓"/>
    <m/>
  </r>
  <r>
    <n v="144"/>
    <s v="Meet"/>
    <x v="0"/>
    <x v="40"/>
    <n v="9700"/>
    <n v="0.18"/>
    <n v="7954"/>
    <n v="-0.05154639175257732"/>
    <d v="2026-10-08T16:13:05"/>
    <s v="↓"/>
    <m/>
  </r>
  <r>
    <n v="127"/>
    <s v="Khushi"/>
    <x v="3"/>
    <x v="41"/>
    <n v="9200"/>
    <n v="0.12"/>
    <n v="8096"/>
    <n v="-0.03260869565217391"/>
    <d v="2026-10-08T16:13:05"/>
    <s v="↓"/>
    <m/>
  </r>
  <r>
    <n v="135"/>
    <s v="Jinal"/>
    <x v="0"/>
    <x v="42"/>
    <n v="8900"/>
    <n v="0.2"/>
    <n v="7120"/>
    <n v="-0.01685393258426966"/>
    <d v="2026-10-08T16:13:05"/>
    <s v="↓"/>
    <m/>
  </r>
  <r>
    <n v="147"/>
    <s v="Raj"/>
    <x v="1"/>
    <x v="43"/>
    <n v="8750"/>
    <n v="0.05"/>
    <n v="8312.5"/>
    <n v="-0.02857142857142857"/>
    <d v="2026-10-08T16:13:05"/>
    <s v="↓"/>
    <m/>
  </r>
  <r>
    <n v="121"/>
    <s v="Satya"/>
    <x v="0"/>
    <x v="44"/>
    <n v="8500"/>
    <n v="0.12"/>
    <n v="7480"/>
    <n v="-0.1058823529411765"/>
    <d v="2026-10-08T16:13:05"/>
    <s v="↓"/>
    <m/>
  </r>
  <r>
    <n v="131"/>
    <s v="Neha"/>
    <x v="1"/>
    <x v="45"/>
    <n v="7600"/>
    <n v="0.1"/>
    <n v="6840"/>
    <n v="-0.0131578947368421"/>
    <d v="2026-10-08T16:13:05"/>
    <s v="↓"/>
    <m/>
  </r>
  <r>
    <n v="113"/>
    <s v="Miya"/>
    <x v="1"/>
    <x v="46"/>
    <n v="7500"/>
    <n v="0.12"/>
    <n v="6600"/>
    <n v="-0.04"/>
    <d v="2026-10-08T16:13:05"/>
    <s v="↓"/>
    <m/>
  </r>
  <r>
    <n v="138"/>
    <s v="Riddhi"/>
    <x v="2"/>
    <x v="47"/>
    <n v="7200"/>
    <n v="0.08"/>
    <n v="6624"/>
    <n v="-0.09722222222222222"/>
    <d v="2026-10-08T16:13:05"/>
    <s v="↓"/>
    <m/>
  </r>
  <r>
    <n v="118"/>
    <s v="Liya"/>
    <x v="3"/>
    <x v="48"/>
    <n v="6500"/>
    <n v="0.2"/>
    <n v="5200"/>
    <n v="-1"/>
    <d v="2026-10-08T16:13:05"/>
    <s v="↓"/>
    <m/>
  </r>
  <r>
    <m/>
    <m/>
    <x v="4"/>
    <x v="49"/>
    <m/>
    <m/>
    <m/>
    <m/>
    <m/>
    <m/>
    <m/>
  </r>
  <r>
    <m/>
    <m/>
    <x v="4"/>
    <x v="49"/>
    <m/>
    <m/>
    <m/>
    <m/>
    <m/>
    <m/>
    <m/>
  </r>
  <r>
    <m/>
    <m/>
    <x v="4"/>
    <x v="49"/>
    <m/>
    <m/>
    <m/>
    <m/>
    <m/>
    <m/>
    <m/>
  </r>
  <r>
    <m/>
    <m/>
    <x v="4"/>
    <x v="49"/>
    <m/>
    <m/>
    <m/>
    <m/>
    <m/>
    <m/>
    <m/>
  </r>
  <r>
    <m/>
    <m/>
    <x v="4"/>
    <x v="49"/>
    <m/>
    <m/>
    <m/>
    <m/>
    <m/>
    <m/>
    <m/>
  </r>
  <r>
    <m/>
    <m/>
    <x v="4"/>
    <x v="4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8" firstHeaderRow="1" firstDataRow="1" firstDataCol="1"/>
  <pivotFields count="11"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51">
        <item x="0"/>
        <item x="43"/>
        <item x="34"/>
        <item x="7"/>
        <item x="44"/>
        <item x="16"/>
        <item x="11"/>
        <item x="41"/>
        <item x="47"/>
        <item x="20"/>
        <item x="38"/>
        <item x="1"/>
        <item x="40"/>
        <item x="18"/>
        <item x="29"/>
        <item x="42"/>
        <item x="36"/>
        <item x="23"/>
        <item x="22"/>
        <item x="10"/>
        <item x="46"/>
        <item x="3"/>
        <item x="8"/>
        <item x="45"/>
        <item x="26"/>
        <item x="5"/>
        <item x="37"/>
        <item x="39"/>
        <item x="14"/>
        <item x="12"/>
        <item x="9"/>
        <item x="27"/>
        <item x="28"/>
        <item x="21"/>
        <item x="25"/>
        <item x="32"/>
        <item x="35"/>
        <item x="13"/>
        <item x="31"/>
        <item x="48"/>
        <item x="2"/>
        <item x="4"/>
        <item x="33"/>
        <item x="19"/>
        <item x="6"/>
        <item x="24"/>
        <item x="17"/>
        <item x="30"/>
        <item x="15"/>
        <item x="4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57">
    <i>
      <x/>
    </i>
    <i r="1">
      <x/>
    </i>
    <i r="1">
      <x v="4"/>
    </i>
    <i r="1">
      <x v="10"/>
    </i>
    <i r="1">
      <x v="12"/>
    </i>
    <i r="1">
      <x v="15"/>
    </i>
    <i r="1">
      <x v="18"/>
    </i>
    <i r="1">
      <x v="24"/>
    </i>
    <i r="1">
      <x v="27"/>
    </i>
    <i r="1">
      <x v="41"/>
    </i>
    <i r="1">
      <x v="45"/>
    </i>
    <i>
      <x v="1"/>
    </i>
    <i r="1">
      <x v="8"/>
    </i>
    <i r="1">
      <x v="14"/>
    </i>
    <i r="1">
      <x v="21"/>
    </i>
    <i r="1">
      <x v="26"/>
    </i>
    <i r="1">
      <x v="28"/>
    </i>
    <i r="1">
      <x v="29"/>
    </i>
    <i r="1">
      <x v="33"/>
    </i>
    <i r="1">
      <x v="34"/>
    </i>
    <i r="1">
      <x v="35"/>
    </i>
    <i r="1">
      <x v="38"/>
    </i>
    <i r="1">
      <x v="42"/>
    </i>
    <i r="1">
      <x v="48"/>
    </i>
    <i>
      <x v="2"/>
    </i>
    <i r="1">
      <x v="1"/>
    </i>
    <i r="1">
      <x v="5"/>
    </i>
    <i r="1">
      <x v="9"/>
    </i>
    <i r="1">
      <x v="11"/>
    </i>
    <i r="1">
      <x v="16"/>
    </i>
    <i r="1">
      <x v="20"/>
    </i>
    <i r="1">
      <x v="22"/>
    </i>
    <i r="1">
      <x v="23"/>
    </i>
    <i r="1">
      <x v="30"/>
    </i>
    <i r="1">
      <x v="31"/>
    </i>
    <i r="1">
      <x v="37"/>
    </i>
    <i r="1">
      <x v="40"/>
    </i>
    <i r="1">
      <x v="43"/>
    </i>
    <i r="1">
      <x v="46"/>
    </i>
    <i>
      <x v="3"/>
    </i>
    <i r="1">
      <x v="2"/>
    </i>
    <i r="1">
      <x v="3"/>
    </i>
    <i r="1">
      <x v="6"/>
    </i>
    <i r="1">
      <x v="7"/>
    </i>
    <i r="1">
      <x v="13"/>
    </i>
    <i r="1">
      <x v="17"/>
    </i>
    <i r="1">
      <x v="19"/>
    </i>
    <i r="1">
      <x v="25"/>
    </i>
    <i r="1">
      <x v="32"/>
    </i>
    <i r="1">
      <x v="36"/>
    </i>
    <i r="1">
      <x v="39"/>
    </i>
    <i r="1">
      <x v="44"/>
    </i>
    <i r="1">
      <x v="46"/>
    </i>
    <i r="1">
      <x v="47"/>
    </i>
    <i>
      <x v="4"/>
    </i>
    <i r="1">
      <x v="49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pane ySplit="2" topLeftCell="A3" activePane="bottomLeft" state="frozen"/>
      <selection pane="bottomLeft" sqref="A1:F1"/>
    </sheetView>
  </sheetViews>
  <sheetFormatPr defaultRowHeight="14.25" x14ac:dyDescent="0.45"/>
  <cols>
    <col min="1" max="2" width="22" customWidth="1"/>
    <col min="3" max="3" width="3" customWidth="1"/>
    <col min="4" max="4" width="22" customWidth="1"/>
    <col min="5" max="5" width="16" customWidth="1"/>
    <col min="6" max="6" width="3" customWidth="1"/>
    <col min="7" max="7" width="24" customWidth="1"/>
    <col min="8" max="8" width="16" customWidth="1"/>
  </cols>
  <sheetData>
    <row r="1" spans="1:8" ht="21" x14ac:dyDescent="0.45">
      <c r="A1" s="52" t="s">
        <v>0</v>
      </c>
      <c r="B1" s="53"/>
      <c r="C1" s="53"/>
      <c r="D1" s="53"/>
      <c r="E1" s="53"/>
      <c r="F1" s="53"/>
    </row>
    <row r="3" spans="1:8" x14ac:dyDescent="0.45">
      <c r="A3" s="21" t="s">
        <v>1</v>
      </c>
      <c r="B3" s="22">
        <f>SUM(Dataset!E2:E51)</f>
        <v>1048150</v>
      </c>
    </row>
    <row r="4" spans="1:8" x14ac:dyDescent="0.45">
      <c r="A4" s="21" t="s">
        <v>2</v>
      </c>
      <c r="B4" s="22">
        <f>SUM(Dataset!G2:G51)</f>
        <v>803310.5</v>
      </c>
    </row>
    <row r="5" spans="1:8" x14ac:dyDescent="0.45">
      <c r="A5" s="21" t="s">
        <v>3</v>
      </c>
      <c r="B5" s="22">
        <f>AVERAGE(Dataset!E2:E51)</f>
        <v>20963</v>
      </c>
    </row>
    <row r="6" spans="1:8" x14ac:dyDescent="0.45">
      <c r="A6" s="21" t="s">
        <v>4</v>
      </c>
      <c r="B6" s="23">
        <f>COUNTA(Dataset!B2:B51)</f>
        <v>50</v>
      </c>
    </row>
    <row r="9" spans="1:8" x14ac:dyDescent="0.45">
      <c r="A9" s="24" t="s">
        <v>5</v>
      </c>
      <c r="B9" s="24" t="s">
        <v>1</v>
      </c>
      <c r="D9" s="24" t="s">
        <v>6</v>
      </c>
      <c r="E9" s="24" t="s">
        <v>7</v>
      </c>
      <c r="G9" s="24" t="s">
        <v>8</v>
      </c>
      <c r="H9" s="24" t="s">
        <v>7</v>
      </c>
    </row>
    <row r="10" spans="1:8" x14ac:dyDescent="0.45">
      <c r="A10" s="23" t="s">
        <v>9</v>
      </c>
      <c r="B10" s="23">
        <f>SUMIF(Dataset!$C$2:$C$51,A10,Dataset!$E$2:$E$51)</f>
        <v>200900</v>
      </c>
      <c r="D10" s="23" t="str">
        <f>Dataset!B2</f>
        <v>Megha</v>
      </c>
      <c r="E10" s="23">
        <f>Dataset!E2</f>
        <v>56000</v>
      </c>
      <c r="G10" s="23" t="s">
        <v>10</v>
      </c>
      <c r="H10" s="23">
        <f>SUMIF(Dataset!$D$2:$D$51,G10,Dataset!$E$2:$E$51)</f>
        <v>56000</v>
      </c>
    </row>
    <row r="11" spans="1:8" x14ac:dyDescent="0.45">
      <c r="A11" s="23" t="s">
        <v>11</v>
      </c>
      <c r="B11" s="23">
        <f>SUMIF(Dataset!$C$2:$C$51,A11,Dataset!$E$2:$E$51)</f>
        <v>229500</v>
      </c>
      <c r="D11" s="23" t="str">
        <f>Dataset!B3</f>
        <v>Jayesh</v>
      </c>
      <c r="E11" s="23">
        <f>Dataset!E3</f>
        <v>55000</v>
      </c>
      <c r="G11" s="23" t="s">
        <v>12</v>
      </c>
      <c r="H11" s="23">
        <f>SUMIF(Dataset!$D$2:$D$51,G11,Dataset!$E$2:$E$51)</f>
        <v>55000</v>
      </c>
    </row>
    <row r="12" spans="1:8" x14ac:dyDescent="0.45">
      <c r="A12" s="23" t="s">
        <v>13</v>
      </c>
      <c r="B12" s="23">
        <f>SUMIF(Dataset!$C$2:$C$51,A12,Dataset!$E$2:$E$51)</f>
        <v>328850</v>
      </c>
      <c r="D12" s="23" t="str">
        <f>Dataset!B4</f>
        <v>Om</v>
      </c>
      <c r="E12" s="23">
        <f>Dataset!E4</f>
        <v>45600</v>
      </c>
      <c r="G12" s="23" t="s">
        <v>14</v>
      </c>
      <c r="H12" s="23">
        <f>SUMIF(Dataset!$D$2:$D$51,G12,Dataset!$E$2:$E$51)</f>
        <v>45600</v>
      </c>
    </row>
    <row r="13" spans="1:8" x14ac:dyDescent="0.45">
      <c r="A13" s="23" t="s">
        <v>15</v>
      </c>
      <c r="B13" s="23">
        <f>SUMIF(Dataset!$C$2:$C$51,A13,Dataset!$E$2:$E$51)</f>
        <v>288900</v>
      </c>
      <c r="D13" s="23" t="str">
        <f>Dataset!B5</f>
        <v>Vaidehi</v>
      </c>
      <c r="E13" s="23">
        <f>Dataset!E5</f>
        <v>45000</v>
      </c>
      <c r="G13" s="23" t="s">
        <v>16</v>
      </c>
      <c r="H13" s="23">
        <f>SUMIF(Dataset!$D$2:$D$51,G13,Dataset!$E$2:$E$51)</f>
        <v>45000</v>
      </c>
    </row>
    <row r="14" spans="1:8" x14ac:dyDescent="0.45">
      <c r="D14" s="23" t="str">
        <f>Dataset!B6</f>
        <v>Vijaya</v>
      </c>
      <c r="E14" s="23">
        <f>Dataset!E6</f>
        <v>45000</v>
      </c>
      <c r="G14" s="23" t="s">
        <v>17</v>
      </c>
      <c r="H14" s="23">
        <f>SUMIF(Dataset!$D$2:$D$51,G14,Dataset!$E$2:$E$51)</f>
        <v>45000</v>
      </c>
    </row>
    <row r="15" spans="1:8" x14ac:dyDescent="0.45">
      <c r="D15" s="23" t="str">
        <f>Dataset!B7</f>
        <v>Ranjan</v>
      </c>
      <c r="E15" s="23">
        <f>Dataset!E7</f>
        <v>34500</v>
      </c>
      <c r="G15" s="23" t="s">
        <v>18</v>
      </c>
      <c r="H15" s="23">
        <f>SUMIF(Dataset!$D$2:$D$51,G15,Dataset!$E$2:$E$51)</f>
        <v>34500</v>
      </c>
    </row>
    <row r="16" spans="1:8" x14ac:dyDescent="0.45">
      <c r="D16" s="23" t="str">
        <f>Dataset!B8</f>
        <v>Vedant</v>
      </c>
      <c r="E16" s="23">
        <f>Dataset!E8</f>
        <v>34000</v>
      </c>
      <c r="G16" s="23" t="s">
        <v>19</v>
      </c>
      <c r="H16" s="23">
        <f>SUMIF(Dataset!$D$2:$D$51,G16,Dataset!$E$2:$E$51)</f>
        <v>34000</v>
      </c>
    </row>
    <row r="17" spans="4:8" x14ac:dyDescent="0.45">
      <c r="D17" s="23" t="str">
        <f>Dataset!B9</f>
        <v>Shankar</v>
      </c>
      <c r="E17" s="23">
        <f>Dataset!E9</f>
        <v>32000</v>
      </c>
      <c r="G17" s="23" t="s">
        <v>20</v>
      </c>
      <c r="H17" s="23">
        <f>SUMIF(Dataset!$D$2:$D$51,G17,Dataset!$E$2:$E$51)</f>
        <v>32000</v>
      </c>
    </row>
    <row r="18" spans="4:8" x14ac:dyDescent="0.45">
      <c r="D18" s="23" t="str">
        <f>Dataset!B10</f>
        <v>Hetvi</v>
      </c>
      <c r="E18" s="23">
        <f>Dataset!E10</f>
        <v>32000</v>
      </c>
      <c r="G18" s="23" t="s">
        <v>21</v>
      </c>
      <c r="H18" s="23">
        <f>SUMIF(Dataset!$D$2:$D$51,G18,Dataset!$E$2:$E$51)</f>
        <v>32000</v>
      </c>
    </row>
    <row r="19" spans="4:8" x14ac:dyDescent="0.45">
      <c r="D19" s="23" t="str">
        <f>Dataset!B11</f>
        <v>Anurag</v>
      </c>
      <c r="E19" s="23">
        <f>Dataset!E11</f>
        <v>30000</v>
      </c>
      <c r="G19" s="23" t="s">
        <v>22</v>
      </c>
      <c r="H19" s="23">
        <f>SUMIF(Dataset!$D$2:$D$51,G19,Dataset!$E$2:$E$51)</f>
        <v>30000</v>
      </c>
    </row>
  </sheetData>
  <sheetProtection algorithmName="SHA-512" hashValue="RhudC74LSDvI+d98e8fw+Ze2MyKTU8ebO8im5g0QhQNfDvNol00ZSpYCjQHOmjl+5wd+bjY/voH+Mb78fUzdfw==" saltValue="FukEF13MJujYus4DSfLyUA==" spinCount="100000" sheet="1" objects="1" scenarios="1"/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"/>
  <sheetViews>
    <sheetView tabSelected="1" workbookViewId="0">
      <selection activeCell="I20" sqref="I20"/>
    </sheetView>
  </sheetViews>
  <sheetFormatPr defaultRowHeight="14.25" x14ac:dyDescent="0.45"/>
  <cols>
    <col min="1" max="1" width="19.06640625" bestFit="1" customWidth="1"/>
    <col min="2" max="2" width="10.9296875" bestFit="1" customWidth="1"/>
  </cols>
  <sheetData>
    <row r="1" spans="1:2" x14ac:dyDescent="0.45">
      <c r="A1" s="18" t="s">
        <v>23</v>
      </c>
      <c r="B1" t="s">
        <v>24</v>
      </c>
    </row>
    <row r="2" spans="1:2" x14ac:dyDescent="0.45">
      <c r="A2" s="19" t="s">
        <v>9</v>
      </c>
      <c r="B2">
        <v>200900</v>
      </c>
    </row>
    <row r="3" spans="1:2" x14ac:dyDescent="0.45">
      <c r="A3" s="20" t="s">
        <v>10</v>
      </c>
      <c r="B3">
        <v>56000</v>
      </c>
    </row>
    <row r="4" spans="1:2" x14ac:dyDescent="0.45">
      <c r="A4" s="20" t="s">
        <v>25</v>
      </c>
      <c r="B4">
        <v>8500</v>
      </c>
    </row>
    <row r="5" spans="1:2" x14ac:dyDescent="0.45">
      <c r="A5" s="20" t="s">
        <v>26</v>
      </c>
      <c r="B5">
        <v>10500</v>
      </c>
    </row>
    <row r="6" spans="1:2" x14ac:dyDescent="0.45">
      <c r="A6" s="20" t="s">
        <v>27</v>
      </c>
      <c r="B6">
        <v>9700</v>
      </c>
    </row>
    <row r="7" spans="1:2" x14ac:dyDescent="0.45">
      <c r="A7" s="20" t="s">
        <v>28</v>
      </c>
      <c r="B7">
        <v>8900</v>
      </c>
    </row>
    <row r="8" spans="1:2" x14ac:dyDescent="0.45">
      <c r="A8" s="20" t="s">
        <v>29</v>
      </c>
      <c r="B8">
        <v>18500</v>
      </c>
    </row>
    <row r="9" spans="1:2" x14ac:dyDescent="0.45">
      <c r="A9" s="20" t="s">
        <v>30</v>
      </c>
      <c r="B9">
        <v>16500</v>
      </c>
    </row>
    <row r="10" spans="1:2" x14ac:dyDescent="0.45">
      <c r="A10" s="20" t="s">
        <v>31</v>
      </c>
      <c r="B10">
        <v>9800</v>
      </c>
    </row>
    <row r="11" spans="1:2" x14ac:dyDescent="0.45">
      <c r="A11" s="20" t="s">
        <v>17</v>
      </c>
      <c r="B11">
        <v>45000</v>
      </c>
    </row>
    <row r="12" spans="1:2" x14ac:dyDescent="0.45">
      <c r="A12" s="20" t="s">
        <v>32</v>
      </c>
      <c r="B12">
        <v>17500</v>
      </c>
    </row>
    <row r="13" spans="1:2" x14ac:dyDescent="0.45">
      <c r="A13" s="19" t="s">
        <v>11</v>
      </c>
      <c r="B13">
        <v>229500</v>
      </c>
    </row>
    <row r="14" spans="1:2" x14ac:dyDescent="0.45">
      <c r="A14" s="20" t="s">
        <v>33</v>
      </c>
      <c r="B14">
        <v>7200</v>
      </c>
    </row>
    <row r="15" spans="1:2" x14ac:dyDescent="0.45">
      <c r="A15" s="20" t="s">
        <v>34</v>
      </c>
      <c r="B15">
        <v>14500</v>
      </c>
    </row>
    <row r="16" spans="1:2" x14ac:dyDescent="0.45">
      <c r="A16" s="20" t="s">
        <v>16</v>
      </c>
      <c r="B16">
        <v>45000</v>
      </c>
    </row>
    <row r="17" spans="1:2" x14ac:dyDescent="0.45">
      <c r="A17" s="20" t="s">
        <v>35</v>
      </c>
      <c r="B17">
        <v>10500</v>
      </c>
    </row>
    <row r="18" spans="1:2" x14ac:dyDescent="0.45">
      <c r="A18" s="20" t="s">
        <v>36</v>
      </c>
      <c r="B18">
        <v>25000</v>
      </c>
    </row>
    <row r="19" spans="1:2" x14ac:dyDescent="0.45">
      <c r="A19" s="20" t="s">
        <v>37</v>
      </c>
      <c r="B19">
        <v>27500</v>
      </c>
    </row>
    <row r="20" spans="1:2" x14ac:dyDescent="0.45">
      <c r="A20" s="20" t="s">
        <v>38</v>
      </c>
      <c r="B20">
        <v>19500</v>
      </c>
    </row>
    <row r="21" spans="1:2" x14ac:dyDescent="0.45">
      <c r="A21" s="20" t="s">
        <v>39</v>
      </c>
      <c r="B21">
        <v>16800</v>
      </c>
    </row>
    <row r="22" spans="1:2" x14ac:dyDescent="0.45">
      <c r="A22" s="20" t="s">
        <v>40</v>
      </c>
      <c r="B22">
        <v>13500</v>
      </c>
    </row>
    <row r="23" spans="1:2" x14ac:dyDescent="0.45">
      <c r="A23" s="20" t="s">
        <v>41</v>
      </c>
      <c r="B23">
        <v>13500</v>
      </c>
    </row>
    <row r="24" spans="1:2" x14ac:dyDescent="0.45">
      <c r="A24" s="20" t="s">
        <v>42</v>
      </c>
      <c r="B24">
        <v>12500</v>
      </c>
    </row>
    <row r="25" spans="1:2" x14ac:dyDescent="0.45">
      <c r="A25" s="20" t="s">
        <v>43</v>
      </c>
      <c r="B25">
        <v>24000</v>
      </c>
    </row>
    <row r="26" spans="1:2" x14ac:dyDescent="0.45">
      <c r="A26" s="19" t="s">
        <v>13</v>
      </c>
      <c r="B26">
        <v>328850</v>
      </c>
    </row>
    <row r="27" spans="1:2" x14ac:dyDescent="0.45">
      <c r="A27" s="20" t="s">
        <v>44</v>
      </c>
      <c r="B27">
        <v>8750</v>
      </c>
    </row>
    <row r="28" spans="1:2" x14ac:dyDescent="0.45">
      <c r="A28" s="20" t="s">
        <v>45</v>
      </c>
      <c r="B28">
        <v>23900</v>
      </c>
    </row>
    <row r="29" spans="1:2" x14ac:dyDescent="0.45">
      <c r="A29" s="20" t="s">
        <v>46</v>
      </c>
      <c r="B29">
        <v>21000</v>
      </c>
    </row>
    <row r="30" spans="1:2" x14ac:dyDescent="0.45">
      <c r="A30" s="20" t="s">
        <v>12</v>
      </c>
      <c r="B30">
        <v>55000</v>
      </c>
    </row>
    <row r="31" spans="1:2" x14ac:dyDescent="0.45">
      <c r="A31" s="20" t="s">
        <v>47</v>
      </c>
      <c r="B31">
        <v>11000</v>
      </c>
    </row>
    <row r="32" spans="1:2" x14ac:dyDescent="0.45">
      <c r="A32" s="20" t="s">
        <v>48</v>
      </c>
      <c r="B32">
        <v>7500</v>
      </c>
    </row>
    <row r="33" spans="1:2" x14ac:dyDescent="0.45">
      <c r="A33" s="20" t="s">
        <v>21</v>
      </c>
      <c r="B33">
        <v>32000</v>
      </c>
    </row>
    <row r="34" spans="1:2" x14ac:dyDescent="0.45">
      <c r="A34" s="20" t="s">
        <v>49</v>
      </c>
      <c r="B34">
        <v>7600</v>
      </c>
    </row>
    <row r="35" spans="1:2" x14ac:dyDescent="0.45">
      <c r="A35" s="20" t="s">
        <v>22</v>
      </c>
      <c r="B35">
        <v>30000</v>
      </c>
    </row>
    <row r="36" spans="1:2" x14ac:dyDescent="0.45">
      <c r="A36" s="20" t="s">
        <v>50</v>
      </c>
      <c r="B36">
        <v>15500</v>
      </c>
    </row>
    <row r="37" spans="1:2" x14ac:dyDescent="0.45">
      <c r="A37" s="20" t="s">
        <v>51</v>
      </c>
      <c r="B37">
        <v>26000</v>
      </c>
    </row>
    <row r="38" spans="1:2" x14ac:dyDescent="0.45">
      <c r="A38" s="20" t="s">
        <v>14</v>
      </c>
      <c r="B38">
        <v>45600</v>
      </c>
    </row>
    <row r="39" spans="1:2" x14ac:dyDescent="0.45">
      <c r="A39" s="20" t="s">
        <v>52</v>
      </c>
      <c r="B39">
        <v>22000</v>
      </c>
    </row>
    <row r="40" spans="1:2" x14ac:dyDescent="0.45">
      <c r="A40" s="20" t="s">
        <v>53</v>
      </c>
      <c r="B40">
        <v>23000</v>
      </c>
    </row>
    <row r="41" spans="1:2" x14ac:dyDescent="0.45">
      <c r="A41" s="19" t="s">
        <v>15</v>
      </c>
      <c r="B41">
        <v>288900</v>
      </c>
    </row>
    <row r="42" spans="1:2" x14ac:dyDescent="0.45">
      <c r="A42" s="20" t="s">
        <v>54</v>
      </c>
      <c r="B42">
        <v>12000</v>
      </c>
    </row>
    <row r="43" spans="1:2" x14ac:dyDescent="0.45">
      <c r="A43" s="20" t="s">
        <v>20</v>
      </c>
      <c r="B43">
        <v>32000</v>
      </c>
    </row>
    <row r="44" spans="1:2" x14ac:dyDescent="0.45">
      <c r="A44" s="20" t="s">
        <v>55</v>
      </c>
      <c r="B44">
        <v>28500</v>
      </c>
    </row>
    <row r="45" spans="1:2" x14ac:dyDescent="0.45">
      <c r="A45" s="20" t="s">
        <v>56</v>
      </c>
      <c r="B45">
        <v>9200</v>
      </c>
    </row>
    <row r="46" spans="1:2" x14ac:dyDescent="0.45">
      <c r="A46" s="20" t="s">
        <v>57</v>
      </c>
      <c r="B46">
        <v>23000</v>
      </c>
    </row>
    <row r="47" spans="1:2" x14ac:dyDescent="0.45">
      <c r="A47" s="20" t="s">
        <v>58</v>
      </c>
      <c r="B47">
        <v>18000</v>
      </c>
    </row>
    <row r="48" spans="1:2" x14ac:dyDescent="0.45">
      <c r="A48" s="20" t="s">
        <v>59</v>
      </c>
      <c r="B48">
        <v>29000</v>
      </c>
    </row>
    <row r="49" spans="1:2" x14ac:dyDescent="0.45">
      <c r="A49" s="20" t="s">
        <v>18</v>
      </c>
      <c r="B49">
        <v>34500</v>
      </c>
    </row>
    <row r="50" spans="1:2" x14ac:dyDescent="0.45">
      <c r="A50" s="20" t="s">
        <v>60</v>
      </c>
      <c r="B50">
        <v>15000</v>
      </c>
    </row>
    <row r="51" spans="1:2" x14ac:dyDescent="0.45">
      <c r="A51" s="20" t="s">
        <v>61</v>
      </c>
      <c r="B51">
        <v>11200</v>
      </c>
    </row>
    <row r="52" spans="1:2" x14ac:dyDescent="0.45">
      <c r="A52" s="20" t="s">
        <v>62</v>
      </c>
      <c r="B52">
        <v>6500</v>
      </c>
    </row>
    <row r="53" spans="1:2" x14ac:dyDescent="0.45">
      <c r="A53" s="20" t="s">
        <v>19</v>
      </c>
      <c r="B53">
        <v>34000</v>
      </c>
    </row>
    <row r="54" spans="1:2" x14ac:dyDescent="0.45">
      <c r="A54" s="20" t="s">
        <v>53</v>
      </c>
      <c r="B54">
        <v>22000</v>
      </c>
    </row>
    <row r="55" spans="1:2" x14ac:dyDescent="0.45">
      <c r="A55" s="20" t="s">
        <v>63</v>
      </c>
      <c r="B55">
        <v>14000</v>
      </c>
    </row>
    <row r="56" spans="1:2" x14ac:dyDescent="0.45">
      <c r="A56" s="19" t="s">
        <v>64</v>
      </c>
    </row>
    <row r="57" spans="1:2" x14ac:dyDescent="0.45">
      <c r="A57" s="20" t="s">
        <v>64</v>
      </c>
    </row>
    <row r="58" spans="1:2" x14ac:dyDescent="0.45">
      <c r="A58" s="19" t="s">
        <v>65</v>
      </c>
      <c r="B58">
        <v>1048150</v>
      </c>
    </row>
  </sheetData>
  <sheetProtection algorithmName="SHA-512" hashValue="nmm58J0IvIj4Z8fBLE8BG1f5AnW4YPV3HexmgQmN9zEQyeB9o+xAyB1Foe17k08U+9g1dpjW0IrUtlwCDEMbWw==" saltValue="WDQ9JwfpLS1jfXXxJNTUlw==" spinCount="100000" sheet="1" objects="1" scenarios="1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zoomScale="49" workbookViewId="0">
      <selection activeCell="J49" sqref="J49"/>
    </sheetView>
  </sheetViews>
  <sheetFormatPr defaultRowHeight="14.25" x14ac:dyDescent="0.45"/>
  <cols>
    <col min="1" max="1" width="36.86328125" customWidth="1"/>
    <col min="2" max="2" width="38.86328125" customWidth="1"/>
    <col min="3" max="3" width="12.73046875" customWidth="1"/>
    <col min="4" max="4" width="26.9296875" customWidth="1"/>
    <col min="5" max="5" width="12.53125" customWidth="1"/>
    <col min="6" max="6" width="13.19921875" customWidth="1"/>
    <col min="7" max="7" width="18.3984375" customWidth="1"/>
    <col min="8" max="8" width="26.33203125" customWidth="1"/>
    <col min="9" max="9" width="32.1328125" customWidth="1"/>
    <col min="10" max="10" width="18.59765625" customWidth="1"/>
    <col min="11" max="11" width="37.59765625" customWidth="1"/>
  </cols>
  <sheetData>
    <row r="1" spans="1:11" ht="16.5" customHeight="1" x14ac:dyDescent="0.7">
      <c r="A1" s="49" t="s">
        <v>66</v>
      </c>
      <c r="B1" s="49" t="s">
        <v>67</v>
      </c>
      <c r="C1" s="49" t="s">
        <v>5</v>
      </c>
      <c r="D1" s="49" t="s">
        <v>8</v>
      </c>
      <c r="E1" s="49" t="s">
        <v>68</v>
      </c>
      <c r="F1" s="49" t="s">
        <v>69</v>
      </c>
      <c r="G1" s="49" t="s">
        <v>70</v>
      </c>
      <c r="H1" s="49" t="s">
        <v>71</v>
      </c>
      <c r="I1" s="49" t="s">
        <v>72</v>
      </c>
      <c r="J1" s="50" t="s">
        <v>73</v>
      </c>
      <c r="K1" s="51" t="s">
        <v>74</v>
      </c>
    </row>
    <row r="2" spans="1:11" ht="16.5" customHeight="1" x14ac:dyDescent="0.7">
      <c r="A2" s="43">
        <v>104</v>
      </c>
      <c r="B2" s="43" t="s">
        <v>75</v>
      </c>
      <c r="C2" s="43" t="s">
        <v>9</v>
      </c>
      <c r="D2" s="43" t="s">
        <v>10</v>
      </c>
      <c r="E2" s="43">
        <v>56000</v>
      </c>
      <c r="F2" s="44">
        <v>0.2</v>
      </c>
      <c r="G2" s="43">
        <f t="shared" ref="G2:G33" si="0">E2*(1-F2)</f>
        <v>44800</v>
      </c>
      <c r="H2" s="45">
        <f>0</f>
        <v>0</v>
      </c>
      <c r="I2" s="46">
        <f t="shared" ref="I2:I33" ca="1" si="1">NOW()</f>
        <v>46308.894981712961</v>
      </c>
      <c r="J2" s="43" t="str">
        <f t="shared" ref="J2:J33" si="2">IF(H2&gt;0,"↑",IF(H2&lt;0,"↓","→"))</f>
        <v>→</v>
      </c>
      <c r="K2" s="47" t="str">
        <f t="shared" ref="K2:K33" si="3">IF(E2&gt;=LARGE($E$2:$E$51,10),INDEX($B$2:$B$51,MATCH(E2,$E$2:$E$51,0)),"")</f>
        <v>Megha</v>
      </c>
    </row>
    <row r="3" spans="1:11" ht="16.5" customHeight="1" x14ac:dyDescent="0.7">
      <c r="A3" s="43">
        <v>103</v>
      </c>
      <c r="B3" s="43" t="s">
        <v>76</v>
      </c>
      <c r="C3" s="43" t="s">
        <v>13</v>
      </c>
      <c r="D3" s="43" t="s">
        <v>12</v>
      </c>
      <c r="E3" s="43">
        <v>55000</v>
      </c>
      <c r="F3" s="44">
        <v>0.2</v>
      </c>
      <c r="G3" s="43">
        <f t="shared" si="0"/>
        <v>44000</v>
      </c>
      <c r="H3" s="45">
        <f t="shared" ref="H3:H34" si="4">IFERROR((E3-E2)/E2,0)</f>
        <v>-1.7857142857142856E-2</v>
      </c>
      <c r="I3" s="46">
        <f t="shared" ca="1" si="1"/>
        <v>46308.894981712961</v>
      </c>
      <c r="J3" s="43" t="str">
        <f t="shared" si="2"/>
        <v>↓</v>
      </c>
      <c r="K3" s="47" t="str">
        <f t="shared" si="3"/>
        <v>Jayesh</v>
      </c>
    </row>
    <row r="4" spans="1:11" ht="16.5" customHeight="1" x14ac:dyDescent="0.7">
      <c r="A4" s="43">
        <v>105</v>
      </c>
      <c r="B4" s="43" t="s">
        <v>77</v>
      </c>
      <c r="C4" s="43" t="s">
        <v>13</v>
      </c>
      <c r="D4" s="43" t="s">
        <v>14</v>
      </c>
      <c r="E4" s="43">
        <v>45600</v>
      </c>
      <c r="F4" s="44">
        <v>0.4</v>
      </c>
      <c r="G4" s="43">
        <f t="shared" si="0"/>
        <v>27360</v>
      </c>
      <c r="H4" s="45">
        <f t="shared" si="4"/>
        <v>-0.1709090909090909</v>
      </c>
      <c r="I4" s="46">
        <f t="shared" ca="1" si="1"/>
        <v>46308.894981712961</v>
      </c>
      <c r="J4" s="43" t="str">
        <f t="shared" si="2"/>
        <v>↓</v>
      </c>
      <c r="K4" s="47" t="str">
        <f t="shared" si="3"/>
        <v>Om</v>
      </c>
    </row>
    <row r="5" spans="1:11" ht="16.5" customHeight="1" x14ac:dyDescent="0.7">
      <c r="A5" s="43">
        <v>101</v>
      </c>
      <c r="B5" s="43" t="s">
        <v>78</v>
      </c>
      <c r="C5" s="43" t="s">
        <v>11</v>
      </c>
      <c r="D5" s="43" t="s">
        <v>16</v>
      </c>
      <c r="E5" s="43">
        <v>45000</v>
      </c>
      <c r="F5" s="44">
        <v>0.5</v>
      </c>
      <c r="G5" s="43">
        <f t="shared" si="0"/>
        <v>22500</v>
      </c>
      <c r="H5" s="45">
        <f t="shared" si="4"/>
        <v>-1.3157894736842105E-2</v>
      </c>
      <c r="I5" s="46">
        <f t="shared" ca="1" si="1"/>
        <v>46308.894981712961</v>
      </c>
      <c r="J5" s="43" t="str">
        <f t="shared" si="2"/>
        <v>↓</v>
      </c>
      <c r="K5" s="47" t="str">
        <f t="shared" si="3"/>
        <v>Vaidehi</v>
      </c>
    </row>
    <row r="6" spans="1:11" ht="16.5" customHeight="1" x14ac:dyDescent="0.7">
      <c r="A6" s="43">
        <v>109</v>
      </c>
      <c r="B6" s="43" t="s">
        <v>79</v>
      </c>
      <c r="C6" s="43" t="s">
        <v>9</v>
      </c>
      <c r="D6" s="43" t="s">
        <v>17</v>
      </c>
      <c r="E6" s="43">
        <v>45000</v>
      </c>
      <c r="F6" s="44">
        <v>0.67</v>
      </c>
      <c r="G6" s="43">
        <f t="shared" si="0"/>
        <v>14849.999999999998</v>
      </c>
      <c r="H6" s="45">
        <f t="shared" si="4"/>
        <v>0</v>
      </c>
      <c r="I6" s="46">
        <f t="shared" ca="1" si="1"/>
        <v>46308.894981712961</v>
      </c>
      <c r="J6" s="43" t="str">
        <f t="shared" si="2"/>
        <v>→</v>
      </c>
      <c r="K6" s="47" t="str">
        <f t="shared" si="3"/>
        <v>Vaidehi</v>
      </c>
    </row>
    <row r="7" spans="1:11" ht="16.5" customHeight="1" x14ac:dyDescent="0.7">
      <c r="A7" s="43">
        <v>106</v>
      </c>
      <c r="B7" s="43" t="s">
        <v>80</v>
      </c>
      <c r="C7" s="43" t="s">
        <v>15</v>
      </c>
      <c r="D7" s="43" t="s">
        <v>18</v>
      </c>
      <c r="E7" s="43">
        <v>34500</v>
      </c>
      <c r="F7" s="44">
        <v>0.34</v>
      </c>
      <c r="G7" s="43">
        <f t="shared" si="0"/>
        <v>22769.999999999996</v>
      </c>
      <c r="H7" s="45">
        <f t="shared" si="4"/>
        <v>-0.23333333333333334</v>
      </c>
      <c r="I7" s="46">
        <f t="shared" ca="1" si="1"/>
        <v>46308.894981712961</v>
      </c>
      <c r="J7" s="43" t="str">
        <f t="shared" si="2"/>
        <v>↓</v>
      </c>
      <c r="K7" s="47" t="str">
        <f t="shared" si="3"/>
        <v>Ranjan</v>
      </c>
    </row>
    <row r="8" spans="1:11" ht="16.5" customHeight="1" x14ac:dyDescent="0.7">
      <c r="A8" s="43">
        <v>102</v>
      </c>
      <c r="B8" s="43" t="s">
        <v>81</v>
      </c>
      <c r="C8" s="43" t="s">
        <v>15</v>
      </c>
      <c r="D8" s="43" t="s">
        <v>19</v>
      </c>
      <c r="E8" s="43">
        <v>34000</v>
      </c>
      <c r="F8" s="44">
        <v>0.3</v>
      </c>
      <c r="G8" s="43">
        <f t="shared" si="0"/>
        <v>23800</v>
      </c>
      <c r="H8" s="45">
        <f t="shared" si="4"/>
        <v>-1.4492753623188406E-2</v>
      </c>
      <c r="I8" s="46">
        <f t="shared" ca="1" si="1"/>
        <v>46308.894981712961</v>
      </c>
      <c r="J8" s="43" t="str">
        <f t="shared" si="2"/>
        <v>↓</v>
      </c>
      <c r="K8" s="47" t="str">
        <f t="shared" si="3"/>
        <v>Vedant</v>
      </c>
    </row>
    <row r="9" spans="1:11" ht="16.5" customHeight="1" x14ac:dyDescent="0.7">
      <c r="A9" s="43">
        <v>108</v>
      </c>
      <c r="B9" s="43" t="s">
        <v>82</v>
      </c>
      <c r="C9" s="43" t="s">
        <v>15</v>
      </c>
      <c r="D9" s="43" t="s">
        <v>20</v>
      </c>
      <c r="E9" s="43">
        <v>32000</v>
      </c>
      <c r="F9" s="44">
        <v>0.45</v>
      </c>
      <c r="G9" s="43">
        <f t="shared" si="0"/>
        <v>17600</v>
      </c>
      <c r="H9" s="45">
        <f t="shared" si="4"/>
        <v>-5.8823529411764705E-2</v>
      </c>
      <c r="I9" s="46">
        <f t="shared" ca="1" si="1"/>
        <v>46308.894981712961</v>
      </c>
      <c r="J9" s="43" t="str">
        <f t="shared" si="2"/>
        <v>↓</v>
      </c>
      <c r="K9" s="47" t="str">
        <f t="shared" si="3"/>
        <v>Shankar</v>
      </c>
    </row>
    <row r="10" spans="1:11" ht="16.5" customHeight="1" x14ac:dyDescent="0.7">
      <c r="A10" s="48">
        <v>137</v>
      </c>
      <c r="B10" s="48" t="s">
        <v>83</v>
      </c>
      <c r="C10" s="43" t="s">
        <v>84</v>
      </c>
      <c r="D10" s="43" t="s">
        <v>21</v>
      </c>
      <c r="E10" s="43">
        <v>32000</v>
      </c>
      <c r="F10" s="44">
        <v>0.16</v>
      </c>
      <c r="G10" s="43">
        <f t="shared" si="0"/>
        <v>26880</v>
      </c>
      <c r="H10" s="45">
        <f t="shared" si="4"/>
        <v>0</v>
      </c>
      <c r="I10" s="46">
        <f t="shared" ca="1" si="1"/>
        <v>46308.894981712961</v>
      </c>
      <c r="J10" s="43" t="str">
        <f t="shared" si="2"/>
        <v>→</v>
      </c>
      <c r="K10" s="47" t="str">
        <f t="shared" si="3"/>
        <v>Shankar</v>
      </c>
    </row>
    <row r="11" spans="1:11" ht="16.5" customHeight="1" x14ac:dyDescent="0.7">
      <c r="A11" s="43">
        <v>120</v>
      </c>
      <c r="B11" s="43" t="s">
        <v>85</v>
      </c>
      <c r="C11" s="43" t="s">
        <v>13</v>
      </c>
      <c r="D11" s="43" t="s">
        <v>22</v>
      </c>
      <c r="E11" s="43">
        <v>30000</v>
      </c>
      <c r="F11" s="44">
        <v>0.25</v>
      </c>
      <c r="G11" s="43">
        <f t="shared" si="0"/>
        <v>22500</v>
      </c>
      <c r="H11" s="45">
        <f t="shared" si="4"/>
        <v>-6.25E-2</v>
      </c>
      <c r="I11" s="46">
        <f t="shared" ca="1" si="1"/>
        <v>46308.894981712961</v>
      </c>
      <c r="J11" s="43" t="str">
        <f t="shared" si="2"/>
        <v>↓</v>
      </c>
      <c r="K11" s="47" t="str">
        <f t="shared" si="3"/>
        <v>Anurag</v>
      </c>
    </row>
    <row r="12" spans="1:11" ht="16.5" customHeight="1" x14ac:dyDescent="0.7">
      <c r="A12" s="48">
        <v>149</v>
      </c>
      <c r="B12" s="48" t="s">
        <v>86</v>
      </c>
      <c r="C12" s="43" t="s">
        <v>15</v>
      </c>
      <c r="D12" s="43" t="s">
        <v>59</v>
      </c>
      <c r="E12" s="43">
        <v>29000</v>
      </c>
      <c r="F12" s="44">
        <v>0.08</v>
      </c>
      <c r="G12" s="43">
        <f t="shared" si="0"/>
        <v>26680</v>
      </c>
      <c r="H12" s="45">
        <f t="shared" si="4"/>
        <v>-3.3333333333333333E-2</v>
      </c>
      <c r="I12" s="46">
        <f t="shared" ca="1" si="1"/>
        <v>46308.894981712961</v>
      </c>
      <c r="J12" s="43" t="str">
        <f t="shared" si="2"/>
        <v>↓</v>
      </c>
      <c r="K12" s="47" t="str">
        <f t="shared" si="3"/>
        <v/>
      </c>
    </row>
    <row r="13" spans="1:11" ht="16.5" customHeight="1" x14ac:dyDescent="0.7">
      <c r="A13" s="48">
        <v>130</v>
      </c>
      <c r="B13" s="48" t="s">
        <v>87</v>
      </c>
      <c r="C13" s="43" t="s">
        <v>15</v>
      </c>
      <c r="D13" s="43" t="s">
        <v>55</v>
      </c>
      <c r="E13" s="43">
        <v>28500</v>
      </c>
      <c r="F13" s="44">
        <v>0.25</v>
      </c>
      <c r="G13" s="43">
        <f t="shared" si="0"/>
        <v>21375</v>
      </c>
      <c r="H13" s="45">
        <f t="shared" si="4"/>
        <v>-1.7241379310344827E-2</v>
      </c>
      <c r="I13" s="46">
        <f t="shared" ca="1" si="1"/>
        <v>46308.894981712961</v>
      </c>
      <c r="J13" s="43" t="str">
        <f t="shared" si="2"/>
        <v>↓</v>
      </c>
      <c r="K13" s="47" t="str">
        <f t="shared" si="3"/>
        <v/>
      </c>
    </row>
    <row r="14" spans="1:11" ht="16.5" customHeight="1" x14ac:dyDescent="0.7">
      <c r="A14" s="43">
        <v>123</v>
      </c>
      <c r="B14" s="43" t="s">
        <v>88</v>
      </c>
      <c r="C14" s="43" t="s">
        <v>11</v>
      </c>
      <c r="D14" s="43" t="s">
        <v>37</v>
      </c>
      <c r="E14" s="43">
        <v>27500</v>
      </c>
      <c r="F14" s="44">
        <v>0.15</v>
      </c>
      <c r="G14" s="43">
        <f t="shared" si="0"/>
        <v>23375</v>
      </c>
      <c r="H14" s="45">
        <f t="shared" si="4"/>
        <v>-3.5087719298245612E-2</v>
      </c>
      <c r="I14" s="46">
        <f t="shared" ca="1" si="1"/>
        <v>46308.894981712961</v>
      </c>
      <c r="J14" s="43" t="str">
        <f t="shared" si="2"/>
        <v>↓</v>
      </c>
      <c r="K14" s="47" t="str">
        <f t="shared" si="3"/>
        <v/>
      </c>
    </row>
    <row r="15" spans="1:11" ht="16.5" customHeight="1" x14ac:dyDescent="0.7">
      <c r="A15" s="48">
        <v>141</v>
      </c>
      <c r="B15" s="48" t="s">
        <v>89</v>
      </c>
      <c r="C15" s="43" t="s">
        <v>13</v>
      </c>
      <c r="D15" s="43" t="s">
        <v>51</v>
      </c>
      <c r="E15" s="43">
        <v>26000</v>
      </c>
      <c r="F15" s="44">
        <v>0.05</v>
      </c>
      <c r="G15" s="43">
        <f t="shared" si="0"/>
        <v>24700</v>
      </c>
      <c r="H15" s="45">
        <f t="shared" si="4"/>
        <v>-5.4545454545454543E-2</v>
      </c>
      <c r="I15" s="46">
        <f t="shared" ca="1" si="1"/>
        <v>46308.894981712961</v>
      </c>
      <c r="J15" s="43" t="str">
        <f t="shared" si="2"/>
        <v>↓</v>
      </c>
      <c r="K15" s="47" t="str">
        <f t="shared" si="3"/>
        <v/>
      </c>
    </row>
    <row r="16" spans="1:11" ht="16.5" customHeight="1" x14ac:dyDescent="0.7">
      <c r="A16" s="43">
        <v>114</v>
      </c>
      <c r="B16" s="43" t="s">
        <v>90</v>
      </c>
      <c r="C16" s="43" t="s">
        <v>11</v>
      </c>
      <c r="D16" s="43" t="s">
        <v>36</v>
      </c>
      <c r="E16" s="43">
        <v>25000</v>
      </c>
      <c r="F16" s="44">
        <v>0.18</v>
      </c>
      <c r="G16" s="43">
        <f t="shared" si="0"/>
        <v>20500</v>
      </c>
      <c r="H16" s="45">
        <f t="shared" si="4"/>
        <v>-3.8461538461538464E-2</v>
      </c>
      <c r="I16" s="46">
        <f t="shared" ca="1" si="1"/>
        <v>46308.894981712961</v>
      </c>
      <c r="J16" s="43" t="str">
        <f t="shared" si="2"/>
        <v>↓</v>
      </c>
      <c r="K16" s="47" t="str">
        <f t="shared" si="3"/>
        <v/>
      </c>
    </row>
    <row r="17" spans="1:11" ht="16.5" customHeight="1" x14ac:dyDescent="0.7">
      <c r="A17" s="48">
        <v>134</v>
      </c>
      <c r="B17" s="48" t="s">
        <v>91</v>
      </c>
      <c r="C17" s="43" t="s">
        <v>11</v>
      </c>
      <c r="D17" s="43" t="s">
        <v>43</v>
      </c>
      <c r="E17" s="43">
        <v>24000</v>
      </c>
      <c r="F17" s="44">
        <v>0.09</v>
      </c>
      <c r="G17" s="43">
        <f t="shared" si="0"/>
        <v>21840</v>
      </c>
      <c r="H17" s="45">
        <f t="shared" si="4"/>
        <v>-0.04</v>
      </c>
      <c r="I17" s="46">
        <f t="shared" ca="1" si="1"/>
        <v>46308.894981712961</v>
      </c>
      <c r="J17" s="43" t="str">
        <f t="shared" si="2"/>
        <v>↓</v>
      </c>
      <c r="K17" s="47" t="str">
        <f t="shared" si="3"/>
        <v/>
      </c>
    </row>
    <row r="18" spans="1:11" ht="16.5" customHeight="1" x14ac:dyDescent="0.7">
      <c r="A18" s="43">
        <v>110</v>
      </c>
      <c r="B18" s="43" t="s">
        <v>92</v>
      </c>
      <c r="C18" s="43" t="s">
        <v>13</v>
      </c>
      <c r="D18" s="43" t="s">
        <v>45</v>
      </c>
      <c r="E18" s="43">
        <v>23900</v>
      </c>
      <c r="F18" s="44">
        <v>0.46</v>
      </c>
      <c r="G18" s="43">
        <f t="shared" si="0"/>
        <v>12906</v>
      </c>
      <c r="H18" s="45">
        <f t="shared" si="4"/>
        <v>-4.1666666666666666E-3</v>
      </c>
      <c r="I18" s="46">
        <f t="shared" ca="1" si="1"/>
        <v>46308.894981712961</v>
      </c>
      <c r="J18" s="43" t="str">
        <f t="shared" si="2"/>
        <v>↓</v>
      </c>
      <c r="K18" s="47" t="str">
        <f t="shared" si="3"/>
        <v/>
      </c>
    </row>
    <row r="19" spans="1:11" ht="16.5" customHeight="1" x14ac:dyDescent="0.7">
      <c r="A19" s="43">
        <v>107</v>
      </c>
      <c r="B19" s="43" t="s">
        <v>93</v>
      </c>
      <c r="C19" s="43" t="s">
        <v>13</v>
      </c>
      <c r="D19" s="43" t="s">
        <v>53</v>
      </c>
      <c r="E19" s="43">
        <v>23000</v>
      </c>
      <c r="F19" s="44">
        <v>0.65</v>
      </c>
      <c r="G19" s="43">
        <f t="shared" si="0"/>
        <v>8049.9999999999991</v>
      </c>
      <c r="H19" s="45">
        <f t="shared" si="4"/>
        <v>-3.7656903765690378E-2</v>
      </c>
      <c r="I19" s="46">
        <f t="shared" ca="1" si="1"/>
        <v>46308.894981712961</v>
      </c>
      <c r="J19" s="43" t="str">
        <f t="shared" si="2"/>
        <v>↓</v>
      </c>
      <c r="K19" s="47" t="str">
        <f t="shared" si="3"/>
        <v/>
      </c>
    </row>
    <row r="20" spans="1:11" ht="16.5" customHeight="1" x14ac:dyDescent="0.7">
      <c r="A20" s="48">
        <v>143</v>
      </c>
      <c r="B20" s="48" t="s">
        <v>94</v>
      </c>
      <c r="C20" s="43" t="s">
        <v>15</v>
      </c>
      <c r="D20" s="43" t="s">
        <v>57</v>
      </c>
      <c r="E20" s="43">
        <v>23000</v>
      </c>
      <c r="F20" s="44">
        <v>0.12</v>
      </c>
      <c r="G20" s="43">
        <f t="shared" si="0"/>
        <v>20240</v>
      </c>
      <c r="H20" s="45">
        <f t="shared" si="4"/>
        <v>0</v>
      </c>
      <c r="I20" s="46">
        <f t="shared" ca="1" si="1"/>
        <v>46308.894981712961</v>
      </c>
      <c r="J20" s="43" t="str">
        <f t="shared" si="2"/>
        <v>→</v>
      </c>
      <c r="K20" s="47" t="str">
        <f t="shared" si="3"/>
        <v/>
      </c>
    </row>
    <row r="21" spans="1:11" ht="16.5" customHeight="1" x14ac:dyDescent="0.7">
      <c r="A21" s="43">
        <v>117</v>
      </c>
      <c r="B21" s="43" t="s">
        <v>95</v>
      </c>
      <c r="C21" s="43" t="s">
        <v>13</v>
      </c>
      <c r="D21" s="43" t="s">
        <v>52</v>
      </c>
      <c r="E21" s="43">
        <v>22000</v>
      </c>
      <c r="F21" s="44">
        <v>0.1</v>
      </c>
      <c r="G21" s="43">
        <f t="shared" si="0"/>
        <v>19800</v>
      </c>
      <c r="H21" s="45">
        <f t="shared" si="4"/>
        <v>-4.3478260869565216E-2</v>
      </c>
      <c r="I21" s="46">
        <f t="shared" ca="1" si="1"/>
        <v>46308.894981712961</v>
      </c>
      <c r="J21" s="43" t="str">
        <f t="shared" si="2"/>
        <v>↓</v>
      </c>
      <c r="K21" s="47" t="str">
        <f t="shared" si="3"/>
        <v/>
      </c>
    </row>
    <row r="22" spans="1:11" ht="16.5" customHeight="1" x14ac:dyDescent="0.7">
      <c r="A22" s="48">
        <v>146</v>
      </c>
      <c r="B22" s="48" t="s">
        <v>96</v>
      </c>
      <c r="C22" s="43" t="s">
        <v>15</v>
      </c>
      <c r="D22" s="43" t="s">
        <v>97</v>
      </c>
      <c r="E22" s="43">
        <v>22000</v>
      </c>
      <c r="F22" s="44">
        <v>0.15</v>
      </c>
      <c r="G22" s="43">
        <f t="shared" si="0"/>
        <v>18700</v>
      </c>
      <c r="H22" s="45">
        <f t="shared" si="4"/>
        <v>0</v>
      </c>
      <c r="I22" s="46">
        <f t="shared" ca="1" si="1"/>
        <v>46308.894981712961</v>
      </c>
      <c r="J22" s="43" t="str">
        <f t="shared" si="2"/>
        <v>→</v>
      </c>
      <c r="K22" s="47" t="str">
        <f t="shared" si="3"/>
        <v/>
      </c>
    </row>
    <row r="23" spans="1:11" ht="16.5" customHeight="1" x14ac:dyDescent="0.7">
      <c r="A23" s="48">
        <v>128</v>
      </c>
      <c r="B23" s="48" t="s">
        <v>98</v>
      </c>
      <c r="C23" s="43" t="s">
        <v>13</v>
      </c>
      <c r="D23" s="43" t="s">
        <v>46</v>
      </c>
      <c r="E23" s="43">
        <v>21000</v>
      </c>
      <c r="F23" s="44">
        <v>0.18</v>
      </c>
      <c r="G23" s="43">
        <f t="shared" si="0"/>
        <v>17220</v>
      </c>
      <c r="H23" s="45">
        <f t="shared" si="4"/>
        <v>-4.5454545454545456E-2</v>
      </c>
      <c r="I23" s="46">
        <f t="shared" ca="1" si="1"/>
        <v>46308.894981712961</v>
      </c>
      <c r="J23" s="43" t="str">
        <f t="shared" si="2"/>
        <v>↓</v>
      </c>
      <c r="K23" s="47" t="str">
        <f t="shared" si="3"/>
        <v/>
      </c>
    </row>
    <row r="24" spans="1:11" ht="16.5" customHeight="1" x14ac:dyDescent="0.7">
      <c r="A24" s="48">
        <v>132</v>
      </c>
      <c r="B24" s="48" t="s">
        <v>99</v>
      </c>
      <c r="C24" s="43" t="s">
        <v>11</v>
      </c>
      <c r="D24" s="43" t="s">
        <v>38</v>
      </c>
      <c r="E24" s="43">
        <v>19500</v>
      </c>
      <c r="F24" s="44">
        <v>0.06</v>
      </c>
      <c r="G24" s="43">
        <f t="shared" si="0"/>
        <v>18330</v>
      </c>
      <c r="H24" s="45">
        <f t="shared" si="4"/>
        <v>-7.1428571428571425E-2</v>
      </c>
      <c r="I24" s="46">
        <f t="shared" ca="1" si="1"/>
        <v>46308.894981712961</v>
      </c>
      <c r="J24" s="43" t="str">
        <f t="shared" si="2"/>
        <v>↓</v>
      </c>
      <c r="K24" s="47" t="str">
        <f t="shared" si="3"/>
        <v/>
      </c>
    </row>
    <row r="25" spans="1:11" ht="16.5" customHeight="1" x14ac:dyDescent="0.7">
      <c r="A25" s="43">
        <v>112</v>
      </c>
      <c r="B25" s="43" t="s">
        <v>100</v>
      </c>
      <c r="C25" s="43" t="s">
        <v>9</v>
      </c>
      <c r="D25" s="43" t="s">
        <v>29</v>
      </c>
      <c r="E25" s="43">
        <v>18500</v>
      </c>
      <c r="F25" s="44">
        <v>0.08</v>
      </c>
      <c r="G25" s="43">
        <f t="shared" si="0"/>
        <v>17020</v>
      </c>
      <c r="H25" s="45">
        <f t="shared" si="4"/>
        <v>-5.128205128205128E-2</v>
      </c>
      <c r="I25" s="46">
        <f t="shared" ca="1" si="1"/>
        <v>46308.894981712961</v>
      </c>
      <c r="J25" s="43" t="str">
        <f t="shared" si="2"/>
        <v>↓</v>
      </c>
      <c r="K25" s="47" t="str">
        <f t="shared" si="3"/>
        <v/>
      </c>
    </row>
    <row r="26" spans="1:11" ht="16.5" customHeight="1" x14ac:dyDescent="0.7">
      <c r="A26" s="48">
        <v>139</v>
      </c>
      <c r="B26" s="48" t="s">
        <v>101</v>
      </c>
      <c r="C26" s="43" t="s">
        <v>15</v>
      </c>
      <c r="D26" s="43" t="s">
        <v>58</v>
      </c>
      <c r="E26" s="43">
        <v>18000</v>
      </c>
      <c r="F26" s="44">
        <v>0.25</v>
      </c>
      <c r="G26" s="43">
        <f t="shared" si="0"/>
        <v>13500</v>
      </c>
      <c r="H26" s="45">
        <f t="shared" si="4"/>
        <v>-2.7027027027027029E-2</v>
      </c>
      <c r="I26" s="46">
        <f t="shared" ca="1" si="1"/>
        <v>46308.894981712961</v>
      </c>
      <c r="J26" s="43" t="str">
        <f t="shared" si="2"/>
        <v>↓</v>
      </c>
      <c r="K26" s="47" t="str">
        <f t="shared" si="3"/>
        <v/>
      </c>
    </row>
    <row r="27" spans="1:11" ht="16.5" customHeight="1" x14ac:dyDescent="0.7">
      <c r="A27" s="43">
        <v>119</v>
      </c>
      <c r="B27" s="43" t="s">
        <v>102</v>
      </c>
      <c r="C27" s="43" t="s">
        <v>9</v>
      </c>
      <c r="D27" s="43" t="s">
        <v>32</v>
      </c>
      <c r="E27" s="43">
        <v>17500</v>
      </c>
      <c r="F27" s="44">
        <v>7.0000000000000007E-2</v>
      </c>
      <c r="G27" s="43">
        <f t="shared" si="0"/>
        <v>16274.999999999998</v>
      </c>
      <c r="H27" s="45">
        <f t="shared" si="4"/>
        <v>-2.7777777777777776E-2</v>
      </c>
      <c r="I27" s="46">
        <f t="shared" ca="1" si="1"/>
        <v>46308.894981712961</v>
      </c>
      <c r="J27" s="43" t="str">
        <f t="shared" si="2"/>
        <v>↓</v>
      </c>
      <c r="K27" s="47" t="str">
        <f t="shared" si="3"/>
        <v/>
      </c>
    </row>
    <row r="28" spans="1:11" ht="16.5" customHeight="1" x14ac:dyDescent="0.7">
      <c r="A28" s="48">
        <v>126</v>
      </c>
      <c r="B28" s="48" t="s">
        <v>103</v>
      </c>
      <c r="C28" s="43" t="s">
        <v>11</v>
      </c>
      <c r="D28" s="43" t="s">
        <v>39</v>
      </c>
      <c r="E28" s="43">
        <v>16800</v>
      </c>
      <c r="F28" s="44">
        <v>0.08</v>
      </c>
      <c r="G28" s="43">
        <f t="shared" si="0"/>
        <v>15456</v>
      </c>
      <c r="H28" s="45">
        <f t="shared" si="4"/>
        <v>-0.04</v>
      </c>
      <c r="I28" s="46">
        <f t="shared" ca="1" si="1"/>
        <v>46308.894981712961</v>
      </c>
      <c r="J28" s="43" t="str">
        <f t="shared" si="2"/>
        <v>↓</v>
      </c>
      <c r="K28" s="47" t="str">
        <f t="shared" si="3"/>
        <v/>
      </c>
    </row>
    <row r="29" spans="1:11" ht="16.5" customHeight="1" x14ac:dyDescent="0.7">
      <c r="A29" s="48">
        <v>148</v>
      </c>
      <c r="B29" s="48" t="s">
        <v>104</v>
      </c>
      <c r="C29" s="43" t="s">
        <v>9</v>
      </c>
      <c r="D29" s="43" t="s">
        <v>30</v>
      </c>
      <c r="E29" s="43">
        <v>16500</v>
      </c>
      <c r="F29" s="44">
        <v>0.2</v>
      </c>
      <c r="G29" s="43">
        <f t="shared" si="0"/>
        <v>13200</v>
      </c>
      <c r="H29" s="45">
        <f t="shared" si="4"/>
        <v>-1.7857142857142856E-2</v>
      </c>
      <c r="I29" s="46">
        <f t="shared" ca="1" si="1"/>
        <v>46308.894981712961</v>
      </c>
      <c r="J29" s="43" t="str">
        <f t="shared" si="2"/>
        <v>↓</v>
      </c>
      <c r="K29" s="47" t="str">
        <f t="shared" si="3"/>
        <v/>
      </c>
    </row>
    <row r="30" spans="1:11" ht="16.5" customHeight="1" x14ac:dyDescent="0.7">
      <c r="A30" s="48">
        <v>136</v>
      </c>
      <c r="B30" s="48" t="s">
        <v>105</v>
      </c>
      <c r="C30" s="43" t="s">
        <v>13</v>
      </c>
      <c r="D30" s="43" t="s">
        <v>50</v>
      </c>
      <c r="E30" s="43">
        <v>15500</v>
      </c>
      <c r="F30" s="44">
        <v>0.11</v>
      </c>
      <c r="G30" s="43">
        <f t="shared" si="0"/>
        <v>13795</v>
      </c>
      <c r="H30" s="45">
        <f t="shared" si="4"/>
        <v>-6.0606060606060608E-2</v>
      </c>
      <c r="I30" s="46">
        <f t="shared" ca="1" si="1"/>
        <v>46308.894981712961</v>
      </c>
      <c r="J30" s="43" t="str">
        <f t="shared" si="2"/>
        <v>↓</v>
      </c>
      <c r="K30" s="47" t="str">
        <f t="shared" si="3"/>
        <v/>
      </c>
    </row>
    <row r="31" spans="1:11" ht="16.5" customHeight="1" x14ac:dyDescent="0.7">
      <c r="A31" s="43">
        <v>116</v>
      </c>
      <c r="B31" s="43" t="s">
        <v>106</v>
      </c>
      <c r="C31" s="43" t="s">
        <v>15</v>
      </c>
      <c r="D31" s="43" t="s">
        <v>60</v>
      </c>
      <c r="E31" s="43">
        <v>15000</v>
      </c>
      <c r="F31" s="44">
        <v>0.15</v>
      </c>
      <c r="G31" s="43">
        <f t="shared" si="0"/>
        <v>12750</v>
      </c>
      <c r="H31" s="45">
        <f t="shared" si="4"/>
        <v>-3.2258064516129031E-2</v>
      </c>
      <c r="I31" s="46">
        <f t="shared" ca="1" si="1"/>
        <v>46308.894981712961</v>
      </c>
      <c r="J31" s="43" t="str">
        <f t="shared" si="2"/>
        <v>↓</v>
      </c>
      <c r="K31" s="47" t="str">
        <f t="shared" si="3"/>
        <v/>
      </c>
    </row>
    <row r="32" spans="1:11" ht="16.5" customHeight="1" x14ac:dyDescent="0.7">
      <c r="A32" s="48">
        <v>142</v>
      </c>
      <c r="B32" s="48" t="s">
        <v>107</v>
      </c>
      <c r="C32" s="43" t="s">
        <v>11</v>
      </c>
      <c r="D32" s="43" t="s">
        <v>34</v>
      </c>
      <c r="E32" s="43">
        <v>14500</v>
      </c>
      <c r="F32" s="44">
        <v>7.0000000000000007E-2</v>
      </c>
      <c r="G32" s="43">
        <f t="shared" si="0"/>
        <v>13485</v>
      </c>
      <c r="H32" s="45">
        <f t="shared" si="4"/>
        <v>-3.3333333333333333E-2</v>
      </c>
      <c r="I32" s="46">
        <f t="shared" ca="1" si="1"/>
        <v>46308.894981712961</v>
      </c>
      <c r="J32" s="43" t="str">
        <f t="shared" si="2"/>
        <v>↓</v>
      </c>
      <c r="K32" s="47" t="str">
        <f t="shared" si="3"/>
        <v/>
      </c>
    </row>
    <row r="33" spans="1:11" ht="16.5" customHeight="1" x14ac:dyDescent="0.7">
      <c r="A33" s="43">
        <v>122</v>
      </c>
      <c r="B33" s="43" t="s">
        <v>108</v>
      </c>
      <c r="C33" s="43" t="s">
        <v>15</v>
      </c>
      <c r="D33" s="43" t="s">
        <v>63</v>
      </c>
      <c r="E33" s="43">
        <v>14000</v>
      </c>
      <c r="F33" s="44">
        <v>0.1</v>
      </c>
      <c r="G33" s="43">
        <f t="shared" si="0"/>
        <v>12600</v>
      </c>
      <c r="H33" s="45">
        <f t="shared" si="4"/>
        <v>-3.4482758620689655E-2</v>
      </c>
      <c r="I33" s="46">
        <f t="shared" ca="1" si="1"/>
        <v>46308.894981712961</v>
      </c>
      <c r="J33" s="43" t="str">
        <f t="shared" si="2"/>
        <v>↓</v>
      </c>
      <c r="K33" s="47" t="str">
        <f t="shared" si="3"/>
        <v/>
      </c>
    </row>
    <row r="34" spans="1:11" ht="16.5" customHeight="1" x14ac:dyDescent="0.7">
      <c r="A34" s="48">
        <v>129</v>
      </c>
      <c r="B34" s="48" t="s">
        <v>109</v>
      </c>
      <c r="C34" s="43" t="s">
        <v>11</v>
      </c>
      <c r="D34" s="43" t="s">
        <v>41</v>
      </c>
      <c r="E34" s="43">
        <v>13500</v>
      </c>
      <c r="F34" s="44">
        <v>7.0000000000000007E-2</v>
      </c>
      <c r="G34" s="43">
        <f t="shared" ref="G34:G51" si="5">E34*(1-F34)</f>
        <v>12555</v>
      </c>
      <c r="H34" s="45">
        <f t="shared" si="4"/>
        <v>-3.5714285714285712E-2</v>
      </c>
      <c r="I34" s="46">
        <f t="shared" ref="I34:I51" ca="1" si="6">NOW()</f>
        <v>46308.894981712961</v>
      </c>
      <c r="J34" s="43" t="str">
        <f t="shared" ref="J34:J51" si="7">IF(H34&gt;0,"↑",IF(H34&lt;0,"↓","→"))</f>
        <v>↓</v>
      </c>
      <c r="K34" s="47" t="str">
        <f t="shared" ref="K34:K51" si="8">IF(E34&gt;=LARGE($E$2:$E$51,10),INDEX($B$2:$B$51,MATCH(E34,$E$2:$E$51,0)),"")</f>
        <v/>
      </c>
    </row>
    <row r="35" spans="1:11" ht="16.5" customHeight="1" x14ac:dyDescent="0.7">
      <c r="A35" s="48">
        <v>145</v>
      </c>
      <c r="B35" s="48" t="s">
        <v>110</v>
      </c>
      <c r="C35" s="43" t="s">
        <v>11</v>
      </c>
      <c r="D35" s="43" t="s">
        <v>40</v>
      </c>
      <c r="E35" s="43">
        <v>13500</v>
      </c>
      <c r="F35" s="44">
        <v>0.1</v>
      </c>
      <c r="G35" s="43">
        <f t="shared" si="5"/>
        <v>12150</v>
      </c>
      <c r="H35" s="45">
        <f t="shared" ref="H35:H51" si="9">IFERROR((E35-E34)/E34,0)</f>
        <v>0</v>
      </c>
      <c r="I35" s="46">
        <f t="shared" ca="1" si="6"/>
        <v>46308.894981712961</v>
      </c>
      <c r="J35" s="43" t="str">
        <f t="shared" si="7"/>
        <v>→</v>
      </c>
      <c r="K35" s="47" t="str">
        <f t="shared" si="8"/>
        <v/>
      </c>
    </row>
    <row r="36" spans="1:11" ht="16.5" customHeight="1" x14ac:dyDescent="0.7">
      <c r="A36" s="48">
        <v>125</v>
      </c>
      <c r="B36" s="48" t="s">
        <v>111</v>
      </c>
      <c r="C36" s="43" t="s">
        <v>11</v>
      </c>
      <c r="D36" s="43" t="s">
        <v>42</v>
      </c>
      <c r="E36" s="43">
        <v>12500</v>
      </c>
      <c r="F36" s="44">
        <v>0.2</v>
      </c>
      <c r="G36" s="43">
        <f t="shared" si="5"/>
        <v>10000</v>
      </c>
      <c r="H36" s="45">
        <f t="shared" si="9"/>
        <v>-7.407407407407407E-2</v>
      </c>
      <c r="I36" s="46">
        <f t="shared" ca="1" si="6"/>
        <v>46308.894981712961</v>
      </c>
      <c r="J36" s="43" t="str">
        <f t="shared" si="7"/>
        <v>↓</v>
      </c>
      <c r="K36" s="47" t="str">
        <f t="shared" si="8"/>
        <v/>
      </c>
    </row>
    <row r="37" spans="1:11" ht="16.5" customHeight="1" x14ac:dyDescent="0.7">
      <c r="A37" s="43">
        <v>111</v>
      </c>
      <c r="B37" s="43" t="s">
        <v>112</v>
      </c>
      <c r="C37" s="43" t="s">
        <v>15</v>
      </c>
      <c r="D37" s="43" t="s">
        <v>54</v>
      </c>
      <c r="E37" s="43">
        <v>12000</v>
      </c>
      <c r="F37" s="44">
        <v>0.24</v>
      </c>
      <c r="G37" s="43">
        <f t="shared" si="5"/>
        <v>9120</v>
      </c>
      <c r="H37" s="45">
        <f t="shared" si="9"/>
        <v>-0.04</v>
      </c>
      <c r="I37" s="46">
        <f t="shared" ca="1" si="6"/>
        <v>46308.894981712961</v>
      </c>
      <c r="J37" s="43" t="str">
        <f t="shared" si="7"/>
        <v>↓</v>
      </c>
      <c r="K37" s="47" t="str">
        <f t="shared" si="8"/>
        <v/>
      </c>
    </row>
    <row r="38" spans="1:11" ht="16.5" customHeight="1" x14ac:dyDescent="0.7">
      <c r="A38" s="48">
        <v>133</v>
      </c>
      <c r="B38" s="48" t="s">
        <v>113</v>
      </c>
      <c r="C38" s="43" t="s">
        <v>15</v>
      </c>
      <c r="D38" s="43" t="s">
        <v>61</v>
      </c>
      <c r="E38" s="43">
        <v>11200</v>
      </c>
      <c r="F38" s="44">
        <v>0.14000000000000001</v>
      </c>
      <c r="G38" s="43">
        <f t="shared" si="5"/>
        <v>9632</v>
      </c>
      <c r="H38" s="45">
        <f t="shared" si="9"/>
        <v>-6.6666666666666666E-2</v>
      </c>
      <c r="I38" s="46">
        <f t="shared" ca="1" si="6"/>
        <v>46308.894981712961</v>
      </c>
      <c r="J38" s="43" t="str">
        <f t="shared" si="7"/>
        <v>↓</v>
      </c>
      <c r="K38" s="47" t="str">
        <f t="shared" si="8"/>
        <v/>
      </c>
    </row>
    <row r="39" spans="1:11" ht="16.5" customHeight="1" x14ac:dyDescent="0.7">
      <c r="A39" s="43">
        <v>124</v>
      </c>
      <c r="B39" s="43" t="s">
        <v>114</v>
      </c>
      <c r="C39" s="43" t="s">
        <v>13</v>
      </c>
      <c r="D39" s="43" t="s">
        <v>47</v>
      </c>
      <c r="E39" s="43">
        <v>11000</v>
      </c>
      <c r="F39" s="44">
        <v>0.05</v>
      </c>
      <c r="G39" s="43">
        <f t="shared" si="5"/>
        <v>10450</v>
      </c>
      <c r="H39" s="45">
        <f t="shared" si="9"/>
        <v>-1.7857142857142856E-2</v>
      </c>
      <c r="I39" s="46">
        <f t="shared" ca="1" si="6"/>
        <v>46308.894981712961</v>
      </c>
      <c r="J39" s="43" t="str">
        <f t="shared" si="7"/>
        <v>↓</v>
      </c>
      <c r="K39" s="47" t="str">
        <f t="shared" si="8"/>
        <v/>
      </c>
    </row>
    <row r="40" spans="1:11" ht="16.5" customHeight="1" x14ac:dyDescent="0.7">
      <c r="A40" s="48">
        <v>140</v>
      </c>
      <c r="B40" s="48" t="s">
        <v>115</v>
      </c>
      <c r="C40" s="43" t="s">
        <v>11</v>
      </c>
      <c r="D40" s="43" t="s">
        <v>35</v>
      </c>
      <c r="E40" s="43">
        <v>10500</v>
      </c>
      <c r="F40" s="44">
        <v>0.13</v>
      </c>
      <c r="G40" s="43">
        <f t="shared" si="5"/>
        <v>9135</v>
      </c>
      <c r="H40" s="45">
        <f t="shared" si="9"/>
        <v>-4.5454545454545456E-2</v>
      </c>
      <c r="I40" s="46">
        <f t="shared" ca="1" si="6"/>
        <v>46308.894981712961</v>
      </c>
      <c r="J40" s="43" t="str">
        <f t="shared" si="7"/>
        <v>↓</v>
      </c>
      <c r="K40" s="47" t="str">
        <f t="shared" si="8"/>
        <v/>
      </c>
    </row>
    <row r="41" spans="1:11" ht="16.5" customHeight="1" x14ac:dyDescent="0.7">
      <c r="A41" s="48">
        <v>150</v>
      </c>
      <c r="B41" s="48" t="s">
        <v>116</v>
      </c>
      <c r="C41" s="43" t="s">
        <v>9</v>
      </c>
      <c r="D41" s="43" t="s">
        <v>26</v>
      </c>
      <c r="E41" s="43">
        <v>10500</v>
      </c>
      <c r="F41" s="44">
        <v>0.25</v>
      </c>
      <c r="G41" s="43">
        <f t="shared" si="5"/>
        <v>7875</v>
      </c>
      <c r="H41" s="45">
        <f t="shared" si="9"/>
        <v>0</v>
      </c>
      <c r="I41" s="46">
        <f t="shared" ca="1" si="6"/>
        <v>46308.894981712961</v>
      </c>
      <c r="J41" s="43" t="str">
        <f t="shared" si="7"/>
        <v>→</v>
      </c>
      <c r="K41" s="47" t="str">
        <f t="shared" si="8"/>
        <v/>
      </c>
    </row>
    <row r="42" spans="1:11" ht="16.5" customHeight="1" x14ac:dyDescent="0.7">
      <c r="A42" s="43">
        <v>115</v>
      </c>
      <c r="B42" s="43" t="s">
        <v>117</v>
      </c>
      <c r="C42" s="43" t="s">
        <v>9</v>
      </c>
      <c r="D42" s="43" t="s">
        <v>31</v>
      </c>
      <c r="E42" s="43">
        <v>9800</v>
      </c>
      <c r="F42" s="44">
        <v>0.05</v>
      </c>
      <c r="G42" s="43">
        <f t="shared" si="5"/>
        <v>9310</v>
      </c>
      <c r="H42" s="45">
        <f t="shared" si="9"/>
        <v>-6.6666666666666666E-2</v>
      </c>
      <c r="I42" s="46">
        <f t="shared" ca="1" si="6"/>
        <v>46308.894981712961</v>
      </c>
      <c r="J42" s="43" t="str">
        <f t="shared" si="7"/>
        <v>↓</v>
      </c>
      <c r="K42" s="47" t="str">
        <f t="shared" si="8"/>
        <v/>
      </c>
    </row>
    <row r="43" spans="1:11" ht="16.5" customHeight="1" x14ac:dyDescent="0.7">
      <c r="A43" s="48">
        <v>144</v>
      </c>
      <c r="B43" s="48" t="s">
        <v>118</v>
      </c>
      <c r="C43" s="43" t="s">
        <v>9</v>
      </c>
      <c r="D43" s="43" t="s">
        <v>27</v>
      </c>
      <c r="E43" s="43">
        <v>9700</v>
      </c>
      <c r="F43" s="44">
        <v>0.18</v>
      </c>
      <c r="G43" s="43">
        <f t="shared" si="5"/>
        <v>7954.0000000000009</v>
      </c>
      <c r="H43" s="45">
        <f t="shared" si="9"/>
        <v>-1.020408163265306E-2</v>
      </c>
      <c r="I43" s="46">
        <f t="shared" ca="1" si="6"/>
        <v>46308.894981712961</v>
      </c>
      <c r="J43" s="43" t="str">
        <f t="shared" si="7"/>
        <v>↓</v>
      </c>
      <c r="K43" s="47" t="str">
        <f t="shared" si="8"/>
        <v/>
      </c>
    </row>
    <row r="44" spans="1:11" ht="16.5" customHeight="1" x14ac:dyDescent="0.7">
      <c r="A44" s="48">
        <v>127</v>
      </c>
      <c r="B44" s="48" t="s">
        <v>119</v>
      </c>
      <c r="C44" s="43" t="s">
        <v>15</v>
      </c>
      <c r="D44" s="43" t="s">
        <v>56</v>
      </c>
      <c r="E44" s="43">
        <v>9200</v>
      </c>
      <c r="F44" s="44">
        <v>0.12</v>
      </c>
      <c r="G44" s="43">
        <f t="shared" si="5"/>
        <v>8096</v>
      </c>
      <c r="H44" s="45">
        <f t="shared" si="9"/>
        <v>-5.1546391752577317E-2</v>
      </c>
      <c r="I44" s="46">
        <f t="shared" ca="1" si="6"/>
        <v>46308.894981712961</v>
      </c>
      <c r="J44" s="43" t="str">
        <f t="shared" si="7"/>
        <v>↓</v>
      </c>
      <c r="K44" s="47" t="str">
        <f t="shared" si="8"/>
        <v/>
      </c>
    </row>
    <row r="45" spans="1:11" ht="16.5" customHeight="1" x14ac:dyDescent="0.7">
      <c r="A45" s="48">
        <v>135</v>
      </c>
      <c r="B45" s="48" t="s">
        <v>120</v>
      </c>
      <c r="C45" s="43" t="s">
        <v>121</v>
      </c>
      <c r="D45" s="43" t="s">
        <v>28</v>
      </c>
      <c r="E45" s="43">
        <v>8900</v>
      </c>
      <c r="F45" s="44">
        <v>0.2</v>
      </c>
      <c r="G45" s="43">
        <f t="shared" si="5"/>
        <v>7120</v>
      </c>
      <c r="H45" s="45">
        <f t="shared" si="9"/>
        <v>-3.2608695652173912E-2</v>
      </c>
      <c r="I45" s="46">
        <f t="shared" ca="1" si="6"/>
        <v>46308.894981712961</v>
      </c>
      <c r="J45" s="43" t="str">
        <f t="shared" si="7"/>
        <v>↓</v>
      </c>
      <c r="K45" s="47" t="str">
        <f t="shared" si="8"/>
        <v/>
      </c>
    </row>
    <row r="46" spans="1:11" ht="16.5" customHeight="1" x14ac:dyDescent="0.7">
      <c r="A46" s="48">
        <v>147</v>
      </c>
      <c r="B46" s="48" t="s">
        <v>122</v>
      </c>
      <c r="C46" s="43" t="s">
        <v>13</v>
      </c>
      <c r="D46" s="43" t="s">
        <v>44</v>
      </c>
      <c r="E46" s="43">
        <v>8750</v>
      </c>
      <c r="F46" s="44">
        <v>0.05</v>
      </c>
      <c r="G46" s="43">
        <f t="shared" si="5"/>
        <v>8312.5</v>
      </c>
      <c r="H46" s="45">
        <f t="shared" si="9"/>
        <v>-1.6853932584269662E-2</v>
      </c>
      <c r="I46" s="46">
        <f t="shared" ca="1" si="6"/>
        <v>46308.894981712961</v>
      </c>
      <c r="J46" s="43" t="str">
        <f t="shared" si="7"/>
        <v>↓</v>
      </c>
      <c r="K46" s="47" t="str">
        <f t="shared" si="8"/>
        <v/>
      </c>
    </row>
    <row r="47" spans="1:11" ht="16.5" customHeight="1" x14ac:dyDescent="0.7">
      <c r="A47" s="43">
        <v>121</v>
      </c>
      <c r="B47" s="43" t="s">
        <v>123</v>
      </c>
      <c r="C47" s="43" t="s">
        <v>9</v>
      </c>
      <c r="D47" s="43" t="s">
        <v>25</v>
      </c>
      <c r="E47" s="43">
        <v>8500</v>
      </c>
      <c r="F47" s="44">
        <v>0.12</v>
      </c>
      <c r="G47" s="43">
        <f t="shared" si="5"/>
        <v>7480</v>
      </c>
      <c r="H47" s="45">
        <f t="shared" si="9"/>
        <v>-2.8571428571428571E-2</v>
      </c>
      <c r="I47" s="46">
        <f t="shared" ca="1" si="6"/>
        <v>46308.894981712961</v>
      </c>
      <c r="J47" s="43" t="str">
        <f t="shared" si="7"/>
        <v>↓</v>
      </c>
      <c r="K47" s="47" t="str">
        <f t="shared" si="8"/>
        <v/>
      </c>
    </row>
    <row r="48" spans="1:11" ht="16.5" customHeight="1" x14ac:dyDescent="0.7">
      <c r="A48" s="48">
        <v>131</v>
      </c>
      <c r="B48" s="48" t="s">
        <v>124</v>
      </c>
      <c r="C48" s="43" t="s">
        <v>13</v>
      </c>
      <c r="D48" s="43" t="s">
        <v>49</v>
      </c>
      <c r="E48" s="43">
        <v>7600</v>
      </c>
      <c r="F48" s="44">
        <v>0.1</v>
      </c>
      <c r="G48" s="43">
        <f t="shared" si="5"/>
        <v>6840</v>
      </c>
      <c r="H48" s="45">
        <f t="shared" si="9"/>
        <v>-0.10588235294117647</v>
      </c>
      <c r="I48" s="46">
        <f t="shared" ca="1" si="6"/>
        <v>46308.894981712961</v>
      </c>
      <c r="J48" s="43" t="str">
        <f t="shared" si="7"/>
        <v>↓</v>
      </c>
      <c r="K48" s="47" t="str">
        <f t="shared" si="8"/>
        <v/>
      </c>
    </row>
    <row r="49" spans="1:11" ht="16.5" customHeight="1" x14ac:dyDescent="0.7">
      <c r="A49" s="43">
        <v>113</v>
      </c>
      <c r="B49" s="43" t="s">
        <v>125</v>
      </c>
      <c r="C49" s="43" t="s">
        <v>13</v>
      </c>
      <c r="D49" s="43" t="s">
        <v>48</v>
      </c>
      <c r="E49" s="43">
        <v>7500</v>
      </c>
      <c r="F49" s="44">
        <v>0.12</v>
      </c>
      <c r="G49" s="43">
        <f t="shared" si="5"/>
        <v>6600</v>
      </c>
      <c r="H49" s="45">
        <f t="shared" si="9"/>
        <v>-1.3157894736842105E-2</v>
      </c>
      <c r="I49" s="46">
        <f t="shared" ca="1" si="6"/>
        <v>46308.894981712961</v>
      </c>
      <c r="J49" s="43" t="str">
        <f t="shared" si="7"/>
        <v>↓</v>
      </c>
      <c r="K49" s="47" t="str">
        <f t="shared" si="8"/>
        <v/>
      </c>
    </row>
    <row r="50" spans="1:11" ht="16.5" customHeight="1" x14ac:dyDescent="0.7">
      <c r="A50" s="48">
        <v>138</v>
      </c>
      <c r="B50" s="48" t="s">
        <v>126</v>
      </c>
      <c r="C50" s="43" t="s">
        <v>11</v>
      </c>
      <c r="D50" s="43" t="s">
        <v>33</v>
      </c>
      <c r="E50" s="43">
        <v>7200</v>
      </c>
      <c r="F50" s="44">
        <v>0.08</v>
      </c>
      <c r="G50" s="43">
        <f t="shared" si="5"/>
        <v>6624</v>
      </c>
      <c r="H50" s="45">
        <f t="shared" si="9"/>
        <v>-0.04</v>
      </c>
      <c r="I50" s="46">
        <f t="shared" ca="1" si="6"/>
        <v>46308.894981712961</v>
      </c>
      <c r="J50" s="43" t="str">
        <f t="shared" si="7"/>
        <v>↓</v>
      </c>
      <c r="K50" s="47" t="str">
        <f t="shared" si="8"/>
        <v/>
      </c>
    </row>
    <row r="51" spans="1:11" ht="16.5" customHeight="1" x14ac:dyDescent="0.7">
      <c r="A51" s="43">
        <v>118</v>
      </c>
      <c r="B51" s="43" t="s">
        <v>127</v>
      </c>
      <c r="C51" s="43" t="s">
        <v>15</v>
      </c>
      <c r="D51" s="43" t="s">
        <v>62</v>
      </c>
      <c r="E51" s="43">
        <v>6500</v>
      </c>
      <c r="F51" s="44">
        <v>0.2</v>
      </c>
      <c r="G51" s="43">
        <f t="shared" si="5"/>
        <v>5200</v>
      </c>
      <c r="H51" s="45">
        <f t="shared" si="9"/>
        <v>-9.7222222222222224E-2</v>
      </c>
      <c r="I51" s="46">
        <f t="shared" ca="1" si="6"/>
        <v>46308.894981712961</v>
      </c>
      <c r="J51" s="43" t="str">
        <f t="shared" si="7"/>
        <v>↓</v>
      </c>
      <c r="K51" s="47" t="str">
        <f t="shared" si="8"/>
        <v/>
      </c>
    </row>
    <row r="52" spans="1:11" ht="16.5" customHeight="1" x14ac:dyDescent="0.6">
      <c r="A52" s="13"/>
      <c r="B52" s="10"/>
      <c r="C52" s="10"/>
      <c r="D52" s="10"/>
      <c r="E52" s="10"/>
      <c r="F52" s="11"/>
      <c r="G52" s="10"/>
      <c r="H52" s="10"/>
      <c r="I52" s="10"/>
      <c r="J52" s="12"/>
    </row>
    <row r="53" spans="1:11" ht="15.75" customHeight="1" x14ac:dyDescent="0.5">
      <c r="A53" s="14"/>
      <c r="B53" s="15"/>
      <c r="C53" s="15"/>
      <c r="D53" s="15"/>
      <c r="E53" s="15"/>
      <c r="F53" s="15"/>
      <c r="G53" s="15"/>
      <c r="H53" s="15"/>
      <c r="I53" s="15"/>
      <c r="J53" s="12"/>
    </row>
    <row r="54" spans="1:11" ht="15.75" customHeight="1" x14ac:dyDescent="0.5">
      <c r="A54" s="14"/>
      <c r="B54" s="15"/>
      <c r="C54" s="15"/>
      <c r="D54" s="15"/>
      <c r="E54" s="15"/>
      <c r="F54" s="15"/>
      <c r="G54" s="15"/>
      <c r="H54" s="15"/>
      <c r="I54" s="15"/>
      <c r="J54" s="12"/>
    </row>
    <row r="55" spans="1:11" ht="15.75" customHeight="1" x14ac:dyDescent="0.5">
      <c r="A55" s="14"/>
      <c r="B55" s="15"/>
      <c r="C55" s="15"/>
      <c r="D55" s="15"/>
      <c r="E55" s="15"/>
      <c r="F55" s="15"/>
      <c r="G55" s="15"/>
      <c r="H55" s="15"/>
      <c r="I55" s="15"/>
      <c r="J55" s="12"/>
    </row>
    <row r="56" spans="1:11" ht="15.75" customHeight="1" x14ac:dyDescent="0.5">
      <c r="A56" s="14"/>
      <c r="B56" s="15"/>
      <c r="C56" s="15"/>
      <c r="D56" s="15"/>
      <c r="E56" s="15"/>
      <c r="F56" s="15"/>
      <c r="G56" s="15"/>
      <c r="H56" s="15"/>
      <c r="I56" s="15"/>
      <c r="J56" s="12"/>
    </row>
    <row r="57" spans="1:11" ht="15.75" customHeight="1" x14ac:dyDescent="0.5">
      <c r="A57" s="16"/>
      <c r="B57" s="17"/>
      <c r="C57" s="17"/>
      <c r="D57" s="17"/>
      <c r="E57" s="17"/>
      <c r="F57" s="17"/>
      <c r="G57" s="17"/>
      <c r="H57" s="17"/>
      <c r="I57" s="17"/>
      <c r="J57" s="9"/>
    </row>
    <row r="58" spans="1:11" x14ac:dyDescent="0.45">
      <c r="A58" s="2"/>
      <c r="B58" s="1"/>
      <c r="C58" s="1"/>
      <c r="D58" s="1"/>
      <c r="E58" s="1"/>
      <c r="F58" s="1"/>
      <c r="G58" s="1"/>
      <c r="H58" s="1"/>
      <c r="I58" s="1"/>
    </row>
  </sheetData>
  <sheetProtection algorithmName="SHA-512" hashValue="L0akhM9RDzfVvblOuVH8Qh7znJ9LT6GF8Xh1dMxJQ265Nl/Dx3LePcHK3cRYmWuNHcQW/mNWLdRrGcVY20d06A==" saltValue="4yvT47XwfSvw1Tzfm+ys0w==" spinCount="100000" sheet="1" objects="1" scenarios="1"/>
  <autoFilter ref="A1:K51" xr:uid="{00000000-0009-0000-0000-000002000000}">
    <sortState xmlns:xlrd2="http://schemas.microsoft.com/office/spreadsheetml/2017/richdata2" ref="A2:K51">
      <sortCondition descending="1" ref="E1:E51"/>
    </sortState>
  </autoFilter>
  <conditionalFormatting sqref="E2:E51">
    <cfRule type="top10" dxfId="2" priority="2" rank="10"/>
  </conditionalFormatting>
  <conditionalFormatting sqref="H2:H51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L19" sqref="L19"/>
    </sheetView>
  </sheetViews>
  <sheetFormatPr defaultRowHeight="14.25" x14ac:dyDescent="0.45"/>
  <cols>
    <col min="1" max="1" width="14.73046875" customWidth="1"/>
  </cols>
  <sheetData>
    <row r="1" spans="1:2" x14ac:dyDescent="0.45">
      <c r="A1" s="4" t="s">
        <v>128</v>
      </c>
      <c r="B1" s="4" t="s">
        <v>68</v>
      </c>
    </row>
    <row r="2" spans="1:2" ht="18" customHeight="1" x14ac:dyDescent="0.55000000000000004">
      <c r="A2" s="3" t="s">
        <v>78</v>
      </c>
      <c r="B2" s="3">
        <v>45000</v>
      </c>
    </row>
    <row r="3" spans="1:2" ht="18" customHeight="1" x14ac:dyDescent="0.55000000000000004">
      <c r="A3" s="3" t="s">
        <v>81</v>
      </c>
      <c r="B3" s="3">
        <v>34000</v>
      </c>
    </row>
    <row r="4" spans="1:2" ht="18" customHeight="1" x14ac:dyDescent="0.55000000000000004">
      <c r="A4" s="3" t="s">
        <v>76</v>
      </c>
      <c r="B4" s="3">
        <v>55000</v>
      </c>
    </row>
    <row r="5" spans="1:2" ht="18" customHeight="1" x14ac:dyDescent="0.55000000000000004">
      <c r="A5" s="3" t="s">
        <v>75</v>
      </c>
      <c r="B5" s="3">
        <v>56000</v>
      </c>
    </row>
    <row r="6" spans="1:2" ht="18" customHeight="1" x14ac:dyDescent="0.55000000000000004">
      <c r="A6" s="3" t="s">
        <v>77</v>
      </c>
      <c r="B6" s="3">
        <v>45600</v>
      </c>
    </row>
    <row r="7" spans="1:2" ht="18" customHeight="1" x14ac:dyDescent="0.55000000000000004">
      <c r="A7" s="3" t="s">
        <v>80</v>
      </c>
      <c r="B7" s="3">
        <v>34500</v>
      </c>
    </row>
    <row r="8" spans="1:2" ht="18" customHeight="1" x14ac:dyDescent="0.55000000000000004">
      <c r="A8" s="3" t="s">
        <v>93</v>
      </c>
      <c r="B8" s="3">
        <v>23000</v>
      </c>
    </row>
    <row r="9" spans="1:2" ht="18" customHeight="1" x14ac:dyDescent="0.55000000000000004">
      <c r="A9" s="3" t="s">
        <v>82</v>
      </c>
      <c r="B9" s="3">
        <v>32000</v>
      </c>
    </row>
    <row r="10" spans="1:2" ht="18" customHeight="1" x14ac:dyDescent="0.55000000000000004">
      <c r="A10" s="3" t="s">
        <v>79</v>
      </c>
      <c r="B10" s="3">
        <v>45000</v>
      </c>
    </row>
    <row r="11" spans="1:2" ht="18" customHeight="1" x14ac:dyDescent="0.55000000000000004">
      <c r="A11" s="3" t="s">
        <v>92</v>
      </c>
      <c r="B11" s="3">
        <v>23900</v>
      </c>
    </row>
  </sheetData>
  <sheetProtection algorithmName="SHA-512" hashValue="PMI16f92Pj0xJH31YxToyRQwna0ovkdd7XWa4bfikfeluy952DStaT5EcNyzVLMdnm3a6K3RzXLA9Fev5RcvKg==" saltValue="UVMSxk4wLxLgAikBQHxWMA==" spinCount="100000" sheet="1" objects="1" scenarios="1"/>
  <conditionalFormatting sqref="B2:B11">
    <cfRule type="top10" dxfId="1" priority="1" rank="10"/>
    <cfRule type="top10" dxfId="0" priority="2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sqref="A1:B6"/>
    </sheetView>
  </sheetViews>
  <sheetFormatPr defaultRowHeight="14.25" x14ac:dyDescent="0.45"/>
  <cols>
    <col min="1" max="1" width="13.33203125" customWidth="1"/>
    <col min="2" max="2" width="51.46484375" customWidth="1"/>
  </cols>
  <sheetData>
    <row r="1" spans="1:2" ht="19.899999999999999" customHeight="1" x14ac:dyDescent="0.5">
      <c r="A1" s="42" t="s">
        <v>69</v>
      </c>
      <c r="B1" s="42" t="s">
        <v>129</v>
      </c>
    </row>
    <row r="2" spans="1:2" ht="19.899999999999999" customHeight="1" x14ac:dyDescent="0.5">
      <c r="A2" s="40">
        <v>0</v>
      </c>
      <c r="B2" s="41">
        <f>SUM(Dataset!$E$2:$E$51)*(1-A2)</f>
        <v>1048150</v>
      </c>
    </row>
    <row r="3" spans="1:2" ht="19.899999999999999" customHeight="1" x14ac:dyDescent="0.5">
      <c r="A3" s="40">
        <v>0.05</v>
      </c>
      <c r="B3" s="41">
        <f>SUM(Dataset!$E$2:$E$51)*(1-A3)</f>
        <v>995742.5</v>
      </c>
    </row>
    <row r="4" spans="1:2" ht="19.899999999999999" customHeight="1" x14ac:dyDescent="0.5">
      <c r="A4" s="40">
        <v>0.1</v>
      </c>
      <c r="B4" s="41">
        <f>SUM(Dataset!$E$2:$E$51)*(1-A4)</f>
        <v>943335</v>
      </c>
    </row>
    <row r="5" spans="1:2" ht="19.899999999999999" customHeight="1" x14ac:dyDescent="0.5">
      <c r="A5" s="40">
        <v>0.15</v>
      </c>
      <c r="B5" s="41">
        <f>SUM(Dataset!$E$2:$E$51)*(1-A5)</f>
        <v>890927.5</v>
      </c>
    </row>
    <row r="6" spans="1:2" ht="20.25" customHeight="1" x14ac:dyDescent="0.5">
      <c r="A6" s="40">
        <v>0.2</v>
      </c>
      <c r="B6" s="41">
        <f>SUM(Dataset!$E$2:$E$51)*(1-A6)</f>
        <v>838520</v>
      </c>
    </row>
    <row r="7" spans="1:2" ht="14.65" customHeight="1" x14ac:dyDescent="0.45"/>
  </sheetData>
  <sheetProtection algorithmName="SHA-512" hashValue="eZH4yYKtN77LewMtohT6DdEArxNSTAsUcrCideHBd3OHJbOPv1ZeSOJiCoTX6X3UoIyq+zL+SoJ0LteCbyUpcQ==" saltValue="kSLf9eTivKLYp02re5eM/Q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"/>
  <sheetViews>
    <sheetView workbookViewId="0">
      <selection sqref="A1:B1"/>
    </sheetView>
  </sheetViews>
  <sheetFormatPr defaultRowHeight="14.25" x14ac:dyDescent="0.45"/>
  <sheetData>
    <row r="1" spans="1:20" ht="18" customHeight="1" x14ac:dyDescent="0.55000000000000004">
      <c r="A1" s="39" t="s">
        <v>7</v>
      </c>
      <c r="B1" s="39" t="s">
        <v>130</v>
      </c>
      <c r="C1" s="6"/>
    </row>
    <row r="2" spans="1:20" ht="18" customHeight="1" x14ac:dyDescent="0.55000000000000004">
      <c r="A2" s="38">
        <v>45000</v>
      </c>
      <c r="B2" s="38">
        <v>22500</v>
      </c>
      <c r="C2" s="6"/>
    </row>
    <row r="3" spans="1:20" ht="18" customHeight="1" x14ac:dyDescent="0.55000000000000004">
      <c r="A3" s="38">
        <v>34000</v>
      </c>
      <c r="B3" s="38">
        <v>23800</v>
      </c>
      <c r="C3" s="6"/>
    </row>
    <row r="4" spans="1:20" ht="18" customHeight="1" x14ac:dyDescent="0.55000000000000004">
      <c r="A4" s="38">
        <v>55000</v>
      </c>
      <c r="B4" s="38">
        <v>44000</v>
      </c>
      <c r="C4" s="6"/>
    </row>
    <row r="5" spans="1:20" ht="18" customHeight="1" x14ac:dyDescent="0.55000000000000004">
      <c r="A5" s="38">
        <v>56000</v>
      </c>
      <c r="B5" s="38">
        <v>44800</v>
      </c>
      <c r="C5" s="6"/>
    </row>
    <row r="6" spans="1:20" ht="18" customHeight="1" x14ac:dyDescent="0.55000000000000004">
      <c r="A6" s="38">
        <v>45600</v>
      </c>
      <c r="B6" s="38">
        <v>27360</v>
      </c>
      <c r="C6" s="6"/>
    </row>
    <row r="7" spans="1:20" ht="18" customHeight="1" x14ac:dyDescent="0.55000000000000004">
      <c r="A7" s="38">
        <v>34500</v>
      </c>
      <c r="B7" s="38">
        <v>22770</v>
      </c>
      <c r="C7" s="6"/>
    </row>
    <row r="8" spans="1:20" ht="18" customHeight="1" x14ac:dyDescent="0.55000000000000004">
      <c r="A8" s="38">
        <v>23000</v>
      </c>
      <c r="B8" s="38">
        <v>8050</v>
      </c>
      <c r="C8" s="6"/>
    </row>
    <row r="9" spans="1:20" ht="18" customHeight="1" x14ac:dyDescent="0.55000000000000004">
      <c r="A9" s="38">
        <v>32000</v>
      </c>
      <c r="B9" s="38">
        <v>17600</v>
      </c>
      <c r="C9" s="6"/>
    </row>
    <row r="10" spans="1:20" ht="18" customHeight="1" x14ac:dyDescent="0.55000000000000004">
      <c r="A10" s="38">
        <v>45000</v>
      </c>
      <c r="B10" s="38">
        <v>14850</v>
      </c>
      <c r="C10" s="6"/>
    </row>
    <row r="11" spans="1:20" ht="18" customHeight="1" x14ac:dyDescent="0.55000000000000004">
      <c r="A11" s="38">
        <v>23900</v>
      </c>
      <c r="B11" s="38">
        <v>12906</v>
      </c>
      <c r="C11" s="6"/>
    </row>
    <row r="12" spans="1:20" ht="18" customHeight="1" x14ac:dyDescent="0.55000000000000004">
      <c r="A12" s="6"/>
      <c r="B12" s="6"/>
      <c r="C12" s="6"/>
    </row>
    <row r="13" spans="1:20" ht="18" customHeight="1" x14ac:dyDescent="0.55000000000000004">
      <c r="A13" s="6"/>
      <c r="B13" s="6"/>
      <c r="C13" s="6"/>
    </row>
    <row r="14" spans="1:20" ht="18" customHeight="1" x14ac:dyDescent="0.55000000000000004">
      <c r="A14" s="6"/>
      <c r="B14" s="6"/>
      <c r="C14" s="6"/>
      <c r="T14" t="s">
        <v>131</v>
      </c>
    </row>
    <row r="15" spans="1:20" ht="18" customHeight="1" x14ac:dyDescent="0.55000000000000004">
      <c r="A15" s="6"/>
    </row>
    <row r="16" spans="1:20" ht="18" customHeight="1" x14ac:dyDescent="0.55000000000000004">
      <c r="A16" s="5"/>
    </row>
    <row r="17" spans="1:1" ht="18" customHeight="1" x14ac:dyDescent="0.55000000000000004">
      <c r="A17" s="6"/>
    </row>
    <row r="18" spans="1:1" ht="18" customHeight="1" x14ac:dyDescent="0.55000000000000004">
      <c r="A18" s="6"/>
    </row>
    <row r="19" spans="1:1" ht="18" customHeight="1" x14ac:dyDescent="0.55000000000000004">
      <c r="A19" s="6"/>
    </row>
  </sheetData>
  <sheetProtection algorithmName="SHA-512" hashValue="l28YgYV6lVOpGSbTHlFxMYE1uRGs4RGLldjbwTLtdxzDr8s6Dvvxfia/+bKVn2dc51aSme/slVcLmEOglQg5gg==" saltValue="NEDPURh1okHo8mzFrwFMlw==" spinCount="100000" sheet="1" objects="1" scenarios="1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D3" sqref="D3"/>
    </sheetView>
  </sheetViews>
  <sheetFormatPr defaultRowHeight="14.25" x14ac:dyDescent="0.45"/>
  <cols>
    <col min="1" max="1" width="30" customWidth="1"/>
    <col min="2" max="2" width="20.9296875" customWidth="1"/>
    <col min="3" max="3" width="19.796875" customWidth="1"/>
    <col min="4" max="4" width="16.86328125" customWidth="1"/>
    <col min="5" max="5" width="14.796875" customWidth="1"/>
    <col min="6" max="6" width="18.46484375" customWidth="1"/>
    <col min="7" max="7" width="15.59765625" customWidth="1"/>
    <col min="8" max="8" width="17.265625" customWidth="1"/>
    <col min="9" max="9" width="22.6640625" customWidth="1"/>
  </cols>
  <sheetData>
    <row r="1" spans="1:10" ht="17.25" customHeight="1" x14ac:dyDescent="0.55000000000000004">
      <c r="A1" s="54" t="s">
        <v>132</v>
      </c>
      <c r="B1" s="54"/>
      <c r="C1" s="54"/>
      <c r="D1" s="54"/>
      <c r="E1" s="54"/>
      <c r="F1" s="54"/>
      <c r="G1" s="54"/>
      <c r="H1" s="8"/>
      <c r="I1" s="8"/>
    </row>
    <row r="2" spans="1:10" ht="17.649999999999999" customHeight="1" x14ac:dyDescent="0.5">
      <c r="A2" s="55" t="s">
        <v>133</v>
      </c>
      <c r="B2" s="55"/>
      <c r="C2" s="33"/>
      <c r="D2" s="33"/>
      <c r="E2" s="33"/>
      <c r="F2" s="33"/>
      <c r="G2" s="33"/>
      <c r="H2" s="33"/>
      <c r="I2" s="33"/>
      <c r="J2" s="34"/>
    </row>
    <row r="3" spans="1:10" ht="17.25" customHeight="1" x14ac:dyDescent="0.5">
      <c r="A3" s="29" t="s">
        <v>134</v>
      </c>
      <c r="B3" s="29">
        <v>0.85624603863101056</v>
      </c>
      <c r="C3" s="33"/>
      <c r="D3" s="33"/>
      <c r="E3" s="33"/>
      <c r="F3" s="33"/>
      <c r="G3" s="33"/>
      <c r="H3" s="33"/>
      <c r="I3" s="33"/>
      <c r="J3" s="34"/>
    </row>
    <row r="4" spans="1:10" ht="17.25" customHeight="1" x14ac:dyDescent="0.5">
      <c r="A4" s="29" t="s">
        <v>135</v>
      </c>
      <c r="B4" s="29">
        <v>0.73315727867129799</v>
      </c>
      <c r="C4" s="33"/>
      <c r="D4" s="33"/>
      <c r="E4" s="33"/>
      <c r="F4" s="33"/>
      <c r="G4" s="33"/>
      <c r="H4" s="33"/>
      <c r="I4" s="33"/>
      <c r="J4" s="34"/>
    </row>
    <row r="5" spans="1:10" ht="17.25" customHeight="1" x14ac:dyDescent="0.5">
      <c r="A5" s="29" t="s">
        <v>136</v>
      </c>
      <c r="B5" s="29">
        <v>0.69980193850521022</v>
      </c>
      <c r="C5" s="33"/>
      <c r="D5" s="33"/>
      <c r="E5" s="33"/>
      <c r="F5" s="33"/>
      <c r="G5" s="33"/>
      <c r="H5" s="33"/>
      <c r="I5" s="33"/>
      <c r="J5" s="34"/>
    </row>
    <row r="6" spans="1:10" ht="17.25" customHeight="1" x14ac:dyDescent="0.5">
      <c r="A6" s="29" t="s">
        <v>137</v>
      </c>
      <c r="B6" s="29">
        <v>6709.6929153173169</v>
      </c>
      <c r="C6" s="33"/>
      <c r="D6" s="33"/>
      <c r="E6" s="33"/>
      <c r="F6" s="33"/>
      <c r="G6" s="33"/>
      <c r="H6" s="33"/>
      <c r="I6" s="33"/>
      <c r="J6" s="34"/>
    </row>
    <row r="7" spans="1:10" ht="17.25" customHeight="1" x14ac:dyDescent="0.65">
      <c r="A7" s="30"/>
      <c r="B7" s="30"/>
      <c r="C7" s="34"/>
      <c r="D7" s="34"/>
      <c r="E7" s="33"/>
      <c r="F7" s="33"/>
      <c r="G7" s="33"/>
      <c r="H7" s="33"/>
      <c r="I7" s="33"/>
      <c r="J7" s="34"/>
    </row>
    <row r="8" spans="1:10" ht="17.649999999999999" customHeight="1" x14ac:dyDescent="0.5">
      <c r="A8" s="29" t="s">
        <v>138</v>
      </c>
      <c r="B8" s="29">
        <v>10</v>
      </c>
      <c r="C8" s="33"/>
      <c r="D8" s="33"/>
      <c r="E8" s="33"/>
      <c r="F8" s="33"/>
      <c r="G8" s="33"/>
      <c r="H8" s="33"/>
      <c r="I8" s="33"/>
      <c r="J8" s="34"/>
    </row>
    <row r="9" spans="1:10" ht="17.25" customHeight="1" x14ac:dyDescent="0.45">
      <c r="A9" s="33"/>
      <c r="B9" s="33"/>
      <c r="C9" s="33"/>
      <c r="D9" s="33"/>
      <c r="E9" s="33"/>
      <c r="F9" s="33"/>
      <c r="G9" s="33"/>
      <c r="H9" s="33"/>
      <c r="I9" s="33"/>
      <c r="J9" s="34"/>
    </row>
    <row r="10" spans="1:10" ht="17.649999999999999" customHeight="1" x14ac:dyDescent="0.45">
      <c r="A10" s="56" t="s">
        <v>139</v>
      </c>
      <c r="B10" s="56"/>
      <c r="C10" s="56"/>
      <c r="D10" s="56"/>
      <c r="E10" s="56"/>
      <c r="F10" s="56"/>
      <c r="G10" s="33"/>
      <c r="H10" s="33"/>
      <c r="I10" s="33"/>
      <c r="J10" s="34"/>
    </row>
    <row r="11" spans="1:10" ht="17.25" customHeight="1" x14ac:dyDescent="0.45">
      <c r="A11" s="31"/>
      <c r="B11" s="31" t="s">
        <v>140</v>
      </c>
      <c r="C11" s="31" t="s">
        <v>141</v>
      </c>
      <c r="D11" s="31" t="s">
        <v>142</v>
      </c>
      <c r="E11" s="31" t="s">
        <v>143</v>
      </c>
      <c r="F11" s="31" t="s">
        <v>144</v>
      </c>
      <c r="G11" s="33"/>
      <c r="H11" s="33"/>
      <c r="I11" s="33"/>
      <c r="J11" s="34"/>
    </row>
    <row r="12" spans="1:10" ht="17.25" customHeight="1" x14ac:dyDescent="0.45">
      <c r="A12" s="32" t="s">
        <v>145</v>
      </c>
      <c r="B12" s="32">
        <v>1</v>
      </c>
      <c r="C12" s="32">
        <v>989548454.25712514</v>
      </c>
      <c r="D12" s="32">
        <v>989548454.25712514</v>
      </c>
      <c r="E12" s="32">
        <v>21.980206918012382</v>
      </c>
      <c r="F12" s="32">
        <v>1.5649559847223981E-3</v>
      </c>
      <c r="G12" s="33"/>
      <c r="H12" s="33"/>
      <c r="I12" s="33"/>
      <c r="J12" s="34"/>
    </row>
    <row r="13" spans="1:10" ht="17.25" customHeight="1" x14ac:dyDescent="0.45">
      <c r="A13" s="32" t="s">
        <v>146</v>
      </c>
      <c r="B13" s="32">
        <v>8</v>
      </c>
      <c r="C13" s="32">
        <v>360159832.14287508</v>
      </c>
      <c r="D13" s="32">
        <v>45019979.017859392</v>
      </c>
      <c r="E13" s="32"/>
      <c r="F13" s="32"/>
      <c r="G13" s="33"/>
      <c r="H13" s="33"/>
      <c r="I13" s="33"/>
      <c r="J13" s="34"/>
    </row>
    <row r="14" spans="1:10" ht="17.649999999999999" customHeight="1" x14ac:dyDescent="0.45">
      <c r="A14" s="32" t="s">
        <v>147</v>
      </c>
      <c r="B14" s="32">
        <v>9</v>
      </c>
      <c r="C14" s="32">
        <v>1349708286.4000001</v>
      </c>
      <c r="D14" s="32"/>
      <c r="E14" s="32"/>
      <c r="F14" s="32"/>
      <c r="G14" s="33"/>
      <c r="H14" s="33"/>
      <c r="I14" s="33"/>
      <c r="J14" s="34"/>
    </row>
    <row r="15" spans="1:10" ht="17.649999999999999" customHeight="1" x14ac:dyDescent="0.45">
      <c r="A15" s="33"/>
      <c r="B15" s="33"/>
      <c r="C15" s="33"/>
      <c r="D15" s="33"/>
      <c r="E15" s="33"/>
      <c r="F15" s="33"/>
      <c r="G15" s="33"/>
      <c r="H15" s="33"/>
      <c r="I15" s="33"/>
      <c r="J15" s="34"/>
    </row>
    <row r="16" spans="1:10" ht="17.25" customHeight="1" x14ac:dyDescent="0.45">
      <c r="A16" s="35"/>
      <c r="B16" s="35" t="s">
        <v>148</v>
      </c>
      <c r="C16" s="35" t="s">
        <v>137</v>
      </c>
      <c r="D16" s="35" t="s">
        <v>149</v>
      </c>
      <c r="E16" s="35" t="s">
        <v>150</v>
      </c>
      <c r="F16" s="35" t="s">
        <v>151</v>
      </c>
      <c r="G16" s="35" t="s">
        <v>152</v>
      </c>
      <c r="H16" s="35" t="s">
        <v>153</v>
      </c>
      <c r="I16" s="35" t="s">
        <v>154</v>
      </c>
      <c r="J16" s="36"/>
    </row>
    <row r="17" spans="1:10" ht="17.25" customHeight="1" x14ac:dyDescent="0.45">
      <c r="A17" s="37" t="s">
        <v>155</v>
      </c>
      <c r="B17" s="37">
        <v>-11372.780271899919</v>
      </c>
      <c r="C17" s="37">
        <v>7809.564375647883</v>
      </c>
      <c r="D17" s="37">
        <v>-1.4562630800973999</v>
      </c>
      <c r="E17" s="37">
        <v>0.18341623209141919</v>
      </c>
      <c r="F17" s="37">
        <v>-29381.66801628708</v>
      </c>
      <c r="G17" s="37">
        <v>6636.1074724872524</v>
      </c>
      <c r="H17" s="37">
        <v>-29381.66801628708</v>
      </c>
      <c r="I17" s="37">
        <v>6636.1074724872524</v>
      </c>
      <c r="J17" s="36"/>
    </row>
    <row r="18" spans="1:10" ht="17.649999999999999" customHeight="1" x14ac:dyDescent="0.45">
      <c r="A18" s="37" t="s">
        <v>7</v>
      </c>
      <c r="B18" s="37">
        <v>0.89432437238324647</v>
      </c>
      <c r="C18" s="37">
        <v>0.19075642655545461</v>
      </c>
      <c r="D18" s="37">
        <v>4.6883053354077084</v>
      </c>
      <c r="E18" s="37">
        <v>1.5649559847223981E-3</v>
      </c>
      <c r="F18" s="37">
        <v>0.4544392639295981</v>
      </c>
      <c r="G18" s="37">
        <v>1.3342094808368949</v>
      </c>
      <c r="H18" s="37">
        <v>0.4544392639295981</v>
      </c>
      <c r="I18" s="37">
        <v>1.3342094808368949</v>
      </c>
      <c r="J18" s="36"/>
    </row>
    <row r="19" spans="1:10" ht="17.25" customHeight="1" x14ac:dyDescent="0.45">
      <c r="A19" s="8"/>
      <c r="B19" s="8"/>
      <c r="C19" s="8"/>
      <c r="D19" s="8"/>
      <c r="E19" s="8"/>
      <c r="F19" s="8"/>
      <c r="G19" s="8"/>
      <c r="H19" s="8"/>
      <c r="I19" s="8"/>
    </row>
    <row r="20" spans="1:10" ht="17.25" customHeight="1" x14ac:dyDescent="0.45">
      <c r="A20" s="7"/>
      <c r="B20" s="7"/>
      <c r="C20" s="7"/>
      <c r="D20" s="7"/>
      <c r="E20" s="7"/>
      <c r="F20" s="7"/>
      <c r="G20" s="7"/>
      <c r="H20" s="7"/>
      <c r="I20" s="7"/>
    </row>
  </sheetData>
  <sheetProtection algorithmName="SHA-512" hashValue="V69+Ygw9jwvQ2l7TCiClHkF1NVlIE/5GAKlT6JtCfrW/5jNGjoekJheaMcvyfX6JPini3TQ+B1k6OB/O6TuSPg==" saltValue="dKaksoGG3zSW1jILU2Lm2g==" spinCount="100000" sheet="1" objects="1" scenarios="1"/>
  <mergeCells count="3">
    <mergeCell ref="A1:G1"/>
    <mergeCell ref="A2:B2"/>
    <mergeCell ref="A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workbookViewId="0">
      <selection activeCell="D8" sqref="D8"/>
    </sheetView>
  </sheetViews>
  <sheetFormatPr defaultRowHeight="14.25" x14ac:dyDescent="0.45"/>
  <cols>
    <col min="1" max="1" width="34.1328125" customWidth="1"/>
    <col min="2" max="2" width="14.53125" customWidth="1"/>
  </cols>
  <sheetData>
    <row r="1" spans="1:2" ht="28.15" customHeight="1" x14ac:dyDescent="0.55000000000000004">
      <c r="A1" s="57" t="s">
        <v>7</v>
      </c>
      <c r="B1" s="58"/>
    </row>
    <row r="2" spans="1:2" ht="20.25" x14ac:dyDescent="0.55000000000000004">
      <c r="A2" s="25"/>
      <c r="B2" s="26"/>
    </row>
    <row r="3" spans="1:2" ht="20.25" x14ac:dyDescent="0.55000000000000004">
      <c r="A3" s="25" t="s">
        <v>156</v>
      </c>
      <c r="B3" s="26">
        <v>39400</v>
      </c>
    </row>
    <row r="4" spans="1:2" ht="20.25" x14ac:dyDescent="0.55000000000000004">
      <c r="A4" s="25" t="s">
        <v>137</v>
      </c>
      <c r="B4" s="26">
        <v>3707.6797176790892</v>
      </c>
    </row>
    <row r="5" spans="1:2" ht="20.25" x14ac:dyDescent="0.55000000000000004">
      <c r="A5" s="25" t="s">
        <v>157</v>
      </c>
      <c r="B5" s="26">
        <v>39750</v>
      </c>
    </row>
    <row r="6" spans="1:2" ht="20.25" x14ac:dyDescent="0.55000000000000004">
      <c r="A6" s="25" t="s">
        <v>158</v>
      </c>
      <c r="B6" s="26">
        <v>45000</v>
      </c>
    </row>
    <row r="7" spans="1:2" ht="20.25" x14ac:dyDescent="0.55000000000000004">
      <c r="A7" s="25" t="s">
        <v>159</v>
      </c>
      <c r="B7" s="26">
        <v>11724.71274227599</v>
      </c>
    </row>
    <row r="8" spans="1:2" ht="20.25" x14ac:dyDescent="0.55000000000000004">
      <c r="A8" s="25" t="s">
        <v>160</v>
      </c>
      <c r="B8" s="26">
        <v>137468888.8888889</v>
      </c>
    </row>
    <row r="9" spans="1:2" ht="20.25" x14ac:dyDescent="0.55000000000000004">
      <c r="A9" s="25" t="s">
        <v>161</v>
      </c>
      <c r="B9" s="26">
        <v>-1.1853400394401019</v>
      </c>
    </row>
    <row r="10" spans="1:2" ht="20.25" x14ac:dyDescent="0.55000000000000004">
      <c r="A10" s="25" t="s">
        <v>162</v>
      </c>
      <c r="B10" s="26">
        <v>1.250478326400529E-2</v>
      </c>
    </row>
    <row r="11" spans="1:2" ht="20.25" x14ac:dyDescent="0.55000000000000004">
      <c r="A11" s="25" t="s">
        <v>163</v>
      </c>
      <c r="B11" s="26">
        <v>33000</v>
      </c>
    </row>
    <row r="12" spans="1:2" ht="20.25" x14ac:dyDescent="0.55000000000000004">
      <c r="A12" s="25" t="s">
        <v>164</v>
      </c>
      <c r="B12" s="26">
        <v>23000</v>
      </c>
    </row>
    <row r="13" spans="1:2" ht="20.25" x14ac:dyDescent="0.55000000000000004">
      <c r="A13" s="25" t="s">
        <v>165</v>
      </c>
      <c r="B13" s="26">
        <v>56000</v>
      </c>
    </row>
    <row r="14" spans="1:2" ht="20.25" x14ac:dyDescent="0.55000000000000004">
      <c r="A14" s="25" t="s">
        <v>166</v>
      </c>
      <c r="B14" s="26">
        <v>394000</v>
      </c>
    </row>
    <row r="15" spans="1:2" ht="20.65" thickBot="1" x14ac:dyDescent="0.6">
      <c r="A15" s="27" t="s">
        <v>167</v>
      </c>
      <c r="B15" s="28">
        <v>10</v>
      </c>
    </row>
  </sheetData>
  <sheetProtection algorithmName="SHA-512" hashValue="JpSlsWVcihUVrTp3ILJpDaueTVwtB4e8LHgzVhvGI6/jm3CxgVUos0ZasIgOIxemRfBINDv0PYJLFV828MOzOg==" saltValue="b8kfGO2k3Oy4g1/GJu25eA==" spinCount="100000" sheet="1" objects="1" scenarios="1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Pivot Table</vt:lpstr>
      <vt:lpstr>Dataset</vt:lpstr>
      <vt:lpstr>Conditional Formatting</vt:lpstr>
      <vt:lpstr>What-If Analysis</vt:lpstr>
      <vt:lpstr>Regression</vt:lpstr>
      <vt:lpstr>Regression Output</vt:lpstr>
      <vt:lpstr>Descriptive Statistics -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Jodhani</dc:creator>
  <cp:lastModifiedBy>Rahul Jodhani</cp:lastModifiedBy>
  <dcterms:created xsi:type="dcterms:W3CDTF">2026-10-06T13:22:25Z</dcterms:created>
  <dcterms:modified xsi:type="dcterms:W3CDTF">2026-10-13T15:58:46Z</dcterms:modified>
</cp:coreProperties>
</file>